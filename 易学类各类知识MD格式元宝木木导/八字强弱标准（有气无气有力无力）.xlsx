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2"/>
  </bookViews>
  <sheets>
    <sheet name="八字分析标准 有气有力喜用神" sheetId="1" r:id="rId1"/>
    <sheet name="八字五行计分标准2" sheetId="2" r:id="rId2"/>
    <sheet name="实例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<sst xmlns="http://schemas.openxmlformats.org/spreadsheetml/2006/main" count="227" uniqueCount="195">
  <si>
    <t>第一步根据月令判断： 日元强弱</t>
  </si>
  <si>
    <t>同我者：比肩（阳）、劫财（阴）</t>
  </si>
  <si>
    <t>日元强弱</t>
  </si>
  <si>
    <t xml:space="preserve"> 所需十神</t>
  </si>
  <si>
    <t>生我者：正印（阳）、偏印（阴）</t>
  </si>
  <si>
    <t>同 月令</t>
  </si>
  <si>
    <t>旺</t>
  </si>
  <si>
    <t>强</t>
  </si>
  <si>
    <r>
      <rPr>
        <sz val="11"/>
        <color theme="1"/>
        <rFont val="宋体"/>
        <charset val="134"/>
        <scheme val="minor"/>
      </rPr>
      <t>需：克、泄、耗</t>
    </r>
    <r>
      <rPr>
        <sz val="9"/>
        <color theme="1"/>
        <rFont val="宋体"/>
        <charset val="134"/>
        <scheme val="minor"/>
      </rPr>
      <t>（克日元、日元所生、日元所克 即</t>
    </r>
    <r>
      <rPr>
        <sz val="9"/>
        <color rgb="FFFF0000"/>
        <rFont val="宋体"/>
        <charset val="134"/>
        <scheme val="minor"/>
      </rPr>
      <t>官杀、食伤 、财才</t>
    </r>
    <r>
      <rPr>
        <sz val="9"/>
        <color theme="1"/>
        <rFont val="宋体"/>
        <charset val="134"/>
        <scheme val="minor"/>
      </rPr>
      <t>）</t>
    </r>
  </si>
  <si>
    <t>我生者：食神（阳）、伤官（阴）</t>
  </si>
  <si>
    <t>月令 所生</t>
  </si>
  <si>
    <t>相</t>
  </si>
  <si>
    <t>克我者：正官（阳）、七杀（阴）</t>
  </si>
  <si>
    <t>生 月令</t>
  </si>
  <si>
    <t>休</t>
  </si>
  <si>
    <t>弱</t>
  </si>
  <si>
    <r>
      <rPr>
        <sz val="11"/>
        <color theme="1"/>
        <rFont val="宋体"/>
        <charset val="134"/>
        <scheme val="minor"/>
      </rPr>
      <t>需：生、扶</t>
    </r>
    <r>
      <rPr>
        <sz val="9"/>
        <color theme="1"/>
        <rFont val="宋体"/>
        <charset val="134"/>
        <scheme val="minor"/>
      </rPr>
      <t>（生日元、同日元即</t>
    </r>
    <r>
      <rPr>
        <sz val="9"/>
        <color rgb="FFFF0000"/>
        <rFont val="宋体"/>
        <charset val="134"/>
        <scheme val="minor"/>
      </rPr>
      <t>印、比劫</t>
    </r>
    <r>
      <rPr>
        <sz val="9"/>
        <color theme="1"/>
        <rFont val="宋体"/>
        <charset val="134"/>
        <scheme val="minor"/>
      </rPr>
      <t>）</t>
    </r>
  </si>
  <si>
    <t>我克者：偏财（阳）、正财（阴）</t>
  </si>
  <si>
    <t>克 月令</t>
  </si>
  <si>
    <t>囚</t>
  </si>
  <si>
    <r>
      <rPr>
        <sz val="6.5"/>
        <color theme="1"/>
        <rFont val="Calibri"/>
        <charset val="134"/>
      </rPr>
      <t xml:space="preserve">4. </t>
    </r>
    <r>
      <rPr>
        <sz val="6.5"/>
        <color theme="1"/>
        <rFont val="宋体"/>
        <charset val="134"/>
      </rPr>
      <t>时柱计算错误</t>
    </r>
  </si>
  <si>
    <t>月令 所克</t>
  </si>
  <si>
    <t>死</t>
  </si>
  <si>
    <r>
      <rPr>
        <sz val="6.5"/>
        <color theme="1"/>
        <rFont val="宋体"/>
        <charset val="134"/>
      </rPr>
      <t xml:space="preserve">根因：原算法没有使用 </t>
    </r>
    <r>
      <rPr>
        <sz val="6.5"/>
        <color theme="1"/>
        <rFont val="Calibri"/>
        <charset val="134"/>
      </rPr>
      <t>"</t>
    </r>
    <r>
      <rPr>
        <sz val="6.5"/>
        <color theme="1"/>
        <rFont val="宋体"/>
        <charset val="134"/>
      </rPr>
      <t>五鼠遁日起时法</t>
    </r>
    <r>
      <rPr>
        <sz val="6.5"/>
        <color theme="1"/>
        <rFont val="Calibri"/>
        <charset val="134"/>
      </rPr>
      <t>"</t>
    </r>
  </si>
  <si>
    <t>修复：实现正确的时柱计算：</t>
  </si>
  <si>
    <t>第二步按日元强弱所需十神 判断  所需十神是否有气无气、有力无力</t>
  </si>
  <si>
    <t>甲己日起甲子时</t>
  </si>
  <si>
    <t>月建/时令</t>
  </si>
  <si>
    <t>十神有力（旺  相）</t>
  </si>
  <si>
    <t>无力（休 囚 死）</t>
  </si>
  <si>
    <t>乙庚日起丙子时</t>
  </si>
  <si>
    <t>寅 卯</t>
  </si>
  <si>
    <t>甲 乙 丙 丁</t>
  </si>
  <si>
    <t>丙辛日起戊子时</t>
  </si>
  <si>
    <t>已 午</t>
  </si>
  <si>
    <t>丙 丁 戊 己</t>
  </si>
  <si>
    <t>丁壬日起庚子时</t>
  </si>
  <si>
    <t>申 酉 丑</t>
  </si>
  <si>
    <t>庚 辛 壬 癸</t>
  </si>
  <si>
    <t>戊癸日起壬子时</t>
  </si>
  <si>
    <t>亥 子 辰</t>
  </si>
  <si>
    <t>壬 癸  甲 乙</t>
  </si>
  <si>
    <t>未</t>
  </si>
  <si>
    <t>戊 己  丙 丁 甲 乙</t>
  </si>
  <si>
    <t>戌</t>
  </si>
  <si>
    <t>戊 己  庚 辛 丙 丁</t>
  </si>
  <si>
    <t>排盘结果页面格式重设计</t>
  </si>
  <si>
    <t>按照用户提供的截图格式，重新设计了排盘结果表格，包含以下行：</t>
  </si>
  <si>
    <t>年支/日支</t>
  </si>
  <si>
    <t>十神有气</t>
  </si>
  <si>
    <t>十天干十二长生：
长生、沐浴、冠带、临冠（禄地）、帝旺（羊刃） 五个状态为有气。 衰、病、死、墓、绝、胎、养</t>
  </si>
  <si>
    <r>
      <rPr>
        <sz val="9.75"/>
        <color theme="1"/>
        <rFont val="Segoe UI"/>
        <charset val="134"/>
      </rPr>
      <t>干神</t>
    </r>
    <r>
      <rPr>
        <sz val="9.75"/>
        <color theme="1"/>
        <rFont val="Segoe UI"/>
        <charset val="134"/>
      </rPr>
      <t>：天干对应的十神</t>
    </r>
  </si>
  <si>
    <t>亥 子 丑 寅 卯</t>
  </si>
  <si>
    <t>甲 癸</t>
  </si>
  <si>
    <r>
      <rPr>
        <sz val="9.75"/>
        <color theme="1"/>
        <rFont val="Segoe UI"/>
        <charset val="134"/>
      </rPr>
      <t>天干</t>
    </r>
    <r>
      <rPr>
        <sz val="9.75"/>
        <color theme="1"/>
        <rFont val="Segoe UI"/>
        <charset val="134"/>
      </rPr>
      <t>：四柱天干（大字显示）</t>
    </r>
  </si>
  <si>
    <t>寅 卯 辰 已 午</t>
  </si>
  <si>
    <t>乙 丙 戌</t>
  </si>
  <si>
    <r>
      <rPr>
        <sz val="9.75"/>
        <color theme="1"/>
        <rFont val="Segoe UI"/>
        <charset val="134"/>
      </rPr>
      <t>地支</t>
    </r>
    <r>
      <rPr>
        <sz val="9.75"/>
        <color theme="1"/>
        <rFont val="Segoe UI"/>
        <charset val="134"/>
      </rPr>
      <t>：四柱地支（大字显示）</t>
    </r>
  </si>
  <si>
    <t>已 午 未 申 酉</t>
  </si>
  <si>
    <t>丁 己 庚</t>
  </si>
  <si>
    <r>
      <rPr>
        <sz val="9.75"/>
        <color theme="1"/>
        <rFont val="Segoe UI"/>
        <charset val="134"/>
      </rPr>
      <t>藏干</t>
    </r>
    <r>
      <rPr>
        <sz val="9.75"/>
        <color theme="1"/>
        <rFont val="Segoe UI"/>
        <charset val="134"/>
      </rPr>
      <t>：地支藏干及五行</t>
    </r>
  </si>
  <si>
    <t>申 酉 戌 亥 子</t>
  </si>
  <si>
    <t>辛 壬</t>
  </si>
  <si>
    <r>
      <rPr>
        <sz val="9.75"/>
        <color theme="1"/>
        <rFont val="Segoe UI"/>
        <charset val="134"/>
      </rPr>
      <t>支神</t>
    </r>
    <r>
      <rPr>
        <sz val="9.75"/>
        <color theme="1"/>
        <rFont val="Segoe UI"/>
        <charset val="134"/>
      </rPr>
      <t>：藏干对应的十神</t>
    </r>
  </si>
  <si>
    <r>
      <rPr>
        <sz val="9.75"/>
        <color theme="1"/>
        <rFont val="Segoe UI"/>
        <charset val="134"/>
      </rPr>
      <t>纳音</t>
    </r>
    <r>
      <rPr>
        <sz val="9.75"/>
        <color theme="1"/>
        <rFont val="Segoe UI"/>
        <charset val="134"/>
      </rPr>
      <t>：六十甲子纳音</t>
    </r>
  </si>
  <si>
    <t>第三步按用神有气无气、有力无力 判断 身强、身弱、从强、从弱</t>
  </si>
  <si>
    <r>
      <rPr>
        <sz val="9.75"/>
        <color theme="1"/>
        <rFont val="Segoe UI"/>
        <charset val="134"/>
      </rPr>
      <t>空亡</t>
    </r>
    <r>
      <rPr>
        <sz val="9.75"/>
        <color theme="1"/>
        <rFont val="Segoe UI"/>
        <charset val="134"/>
      </rPr>
      <t>：旬空</t>
    </r>
  </si>
  <si>
    <t>日元强</t>
  </si>
  <si>
    <t>只要有一个字有力或有气 克泄耗</t>
  </si>
  <si>
    <t>身强</t>
  </si>
  <si>
    <r>
      <rPr>
        <sz val="9.75"/>
        <color theme="1"/>
        <rFont val="Segoe UI"/>
        <charset val="134"/>
      </rPr>
      <t>地势</t>
    </r>
    <r>
      <rPr>
        <sz val="9.75"/>
        <color theme="1"/>
        <rFont val="Segoe UI"/>
        <charset val="134"/>
      </rPr>
      <t>：十二长生</t>
    </r>
  </si>
  <si>
    <t>没有一个字有力或有气 克泄耗</t>
  </si>
  <si>
    <t>从强</t>
  </si>
  <si>
    <r>
      <rPr>
        <sz val="9.75"/>
        <color theme="1"/>
        <rFont val="Segoe UI"/>
        <charset val="134"/>
      </rPr>
      <t>自坐</t>
    </r>
    <r>
      <rPr>
        <sz val="9.75"/>
        <color theme="1"/>
        <rFont val="Segoe UI"/>
        <charset val="134"/>
      </rPr>
      <t>：日柱自坐</t>
    </r>
  </si>
  <si>
    <t>日元弱</t>
  </si>
  <si>
    <t>只要有一个字有力或有气  生 扶</t>
  </si>
  <si>
    <t>身弱</t>
  </si>
  <si>
    <r>
      <rPr>
        <sz val="9.75"/>
        <color theme="1"/>
        <rFont val="Segoe UI"/>
        <charset val="134"/>
      </rPr>
      <t>神煞</t>
    </r>
    <r>
      <rPr>
        <sz val="9.75"/>
        <color theme="1"/>
        <rFont val="Segoe UI"/>
        <charset val="134"/>
      </rPr>
      <t>：天乙贵人、文昌贵人、将星、桃花等</t>
    </r>
  </si>
  <si>
    <t>没有一个字有力或有气  生 扶</t>
  </si>
  <si>
    <t>从弱</t>
  </si>
  <si>
    <t>3. 新增计算功能</t>
  </si>
  <si>
    <t>藏干计算（地支藏干）</t>
  </si>
  <si>
    <t>第四步从身强、身弱、从强、从弱 判断用神</t>
  </si>
  <si>
    <t>纳音计算（六十甲子纳音）</t>
  </si>
  <si>
    <t>日元状态</t>
  </si>
  <si>
    <t>所需用神</t>
  </si>
  <si>
    <t>取喜用神</t>
  </si>
  <si>
    <t>空亡计算（旬空）</t>
  </si>
  <si>
    <t>克、泄、耗（官杀、食伤 、财才）</t>
  </si>
  <si>
    <t>取有力或有气的克泄耗（官杀、食伤 、财才）</t>
  </si>
  <si>
    <t>十二长生计算（地势）</t>
  </si>
  <si>
    <t>生、扶（印、比劫）</t>
  </si>
  <si>
    <t>取有力或有气的生扶（印、比劫）</t>
  </si>
  <si>
    <t>神煞计算（天乙贵人、文昌贵人、将星、桃花）</t>
  </si>
  <si>
    <r>
      <rPr>
        <sz val="9"/>
        <color theme="1"/>
        <rFont val="宋体"/>
        <charset val="134"/>
        <scheme val="minor"/>
      </rPr>
      <t xml:space="preserve"># 八字量化计分计算标准文档 V1.1
&gt; 文档说明：本套为现代量化模拟模型，非古籍原文；仅用于程序演算，不替代传统子平论命。
&gt; 八字结构：年柱、月柱、日柱、时柱；**日干（日主）不参与五行力量累加，只作为参照对象**。
## 1、四柱位置权重（曲炜版本二，总分100）
|柱位|权重分值|备注|
|----|--------|----|
</t>
    </r>
    <r>
      <rPr>
        <sz val="9"/>
        <color rgb="FFFF0000"/>
        <rFont val="宋体"/>
        <charset val="134"/>
        <scheme val="minor"/>
      </rPr>
      <t>|年干|8|不包含日干|
|年支|4| |
|月干|12| |
|月支|40|月令提纲，最高权重|
|日支|12|日主贴身根气|
|时干|12| |
|时支|12| |</t>
    </r>
    <r>
      <rPr>
        <sz val="9"/>
        <color theme="1"/>
        <rFont val="宋体"/>
        <charset val="134"/>
        <scheme val="minor"/>
      </rPr>
      <t xml:space="preserve">
&gt; 合计：8+4+12+40+12+12+12 = 100；**日干不计入权重**。
## 2、地支藏干拆分比例（固定60‑30‑10体系）
&gt; 规则：
&gt; 1. 子、卯、酉：纯气，只有本气100%，无中气、余气；
&gt; 2. 午：两藏，丁火本气70%，己土中气30%，无余气；
&gt; 3. 其余地支：本气60%，中气30%，余气10%；
&gt; 4. 每个地支的权重分值 × 藏干百分比 = 该藏干原始分数。
</t>
    </r>
    <r>
      <rPr>
        <sz val="9"/>
        <color rgb="FFFF0000"/>
        <rFont val="宋体"/>
        <charset val="134"/>
        <scheme val="minor"/>
      </rPr>
      <t xml:space="preserve">|地支|本气（%）|中气（%）|余气（%）|
|---|---|---|---|
|子|癸水100|—|—|
|丑|己土60|癸水30|辛金10|
|寅|甲木60|丙火30|戊土10|
|卯|乙木100|—|—|
|辰|戊土60|乙木30|癸水10|
|巳|丙火60|庚金30|戊土10|
|午|丁火70|己土30|—|
|未|己土60|丁火30|乙木10|
|申|庚金60|壬水30|戊土10|
|酉|辛金100|—|—|
|戌|戊土60|辛金30|丁火10|
|亥|壬水60|甲木30|戊土10|
</t>
    </r>
    <r>
      <rPr>
        <sz val="9"/>
        <color theme="1"/>
        <rFont val="宋体"/>
        <charset val="134"/>
        <scheme val="minor"/>
      </rPr>
      <t xml:space="preserve">
##</t>
    </r>
    <r>
      <rPr>
        <sz val="9"/>
        <color theme="4"/>
        <rFont val="宋体"/>
        <charset val="134"/>
        <scheme val="minor"/>
      </rPr>
      <t xml:space="preserve"> 3、天干通根折扣系数（天干得分修正）
&gt; 天干拿到自身位置权重分之后，依据地支根气做折扣；
&gt; 只看全局地支藏干，不区分远近；
&gt; - 本气根：天干五行 = 地支本气五行 → 系数1.0（不打折）
&gt; - 中气根：天干五行 = 地支中气五行 → 系数0.7
&gt; - 余气根：天干五行 = 地支余气五行 → 系数0.4
&gt; - 完全虚浮：全局地支无该五行任何藏干 → 系数0.3</t>
    </r>
    <r>
      <rPr>
        <sz val="9"/>
        <color theme="1"/>
        <rFont val="宋体"/>
        <charset val="134"/>
        <scheme val="minor"/>
      </rPr>
      <t xml:space="preserve">
&gt; 注意：若天干同时拥有多种根，取最高根的系数，不叠加多重折扣。
## 4、地支作用修正系数（冲、合、局、刑、害、破）
&gt; **执行优先级顺序（代码必须严格遵守）：**
&gt; 1）六合 / 三合 / 三会 / 半拱局
&gt; 2）六冲
&gt; 3）相刑（三刑、子卯刑、自刑）
&gt; 4）六害（六穿）
&gt; 5）相破
&gt; 说明：
&gt; </t>
    </r>
    <r>
      <rPr>
        <sz val="9"/>
        <color theme="4"/>
        <rFont val="宋体"/>
        <charset val="134"/>
        <scheme val="minor"/>
      </rPr>
      <t>- **冲：明面上剧烈碰撞，系数大；**
&gt; - **刑：内耗、纠缠，力量次于冲；**
&gt; - **害：暗伤、小人，力量弱于刑；**
&gt; - **破：细微损耗，力量最弱。**</t>
    </r>
    <r>
      <rPr>
        <sz val="9"/>
        <color theme="1"/>
        <rFont val="宋体"/>
        <charset val="134"/>
        <scheme val="minor"/>
      </rPr>
      <t xml:space="preserve">
### 4‑1 六合 / 三合 / 三会 / 半拱局
- 成局五行总分 ×1.5
- 该地支内**非局的其余藏干分数 ×0.3**
- 无合冲会局则不启用本条。
### 4‑2 地支六冲
</t>
    </r>
    <r>
      <rPr>
        <sz val="9"/>
        <color theme="4"/>
        <rFont val="宋体"/>
        <charset val="134"/>
        <scheme val="minor"/>
      </rPr>
      <t>被冲的地支全部藏干分数 ×0.5；两支互冲则两支都×0.</t>
    </r>
    <r>
      <rPr>
        <sz val="9"/>
        <color theme="1"/>
        <rFont val="宋体"/>
        <charset val="134"/>
        <scheme val="minor"/>
      </rPr>
      <t>5。
### 4‑3 相刑
&gt; 刑是互相损耗，不是像冲那样直接减半；力量弱于冲
1.</t>
    </r>
    <r>
      <rPr>
        <sz val="9"/>
        <color theme="4"/>
        <rFont val="宋体"/>
        <charset val="134"/>
        <scheme val="minor"/>
      </rPr>
      <t xml:space="preserve"> 三刑（寅巳申、丑戌未）：
   - 三字齐全：参与刑的两支/三支，全部藏干 ×0.8
   - 两字相见（如寅巳、丑戌）：参与刑的地支藏干 ×0.85
2. 子卯刑（无礼之刑）：子、卯两支藏干 ×0.85
3. 自刑（辰辰、午午、酉酉、亥亥）：同地支重复出现，该地支藏干 ×0.85</t>
    </r>
    <r>
      <rPr>
        <sz val="9"/>
        <color theme="1"/>
        <rFont val="宋体"/>
        <charset val="134"/>
        <scheme val="minor"/>
      </rPr>
      <t xml:space="preserve">
&gt; 注意：刑只减力，**不直接归零**；若同时遇冲，先执行冲×0.5，再执行刑系数，系数是乘法叠加。
### 4‑4 六害（六穿）
</t>
    </r>
    <r>
      <rPr>
        <sz val="9"/>
        <color theme="4"/>
        <rFont val="宋体"/>
        <charset val="134"/>
        <scheme val="minor"/>
      </rPr>
      <t>六害配对：子未、丑午、寅巳、卯辰、申亥、酉戌
- 发生六害的两个地支，全部藏干 ×0.9；</t>
    </r>
    <r>
      <rPr>
        <sz val="9"/>
        <color theme="1"/>
        <rFont val="宋体"/>
        <charset val="134"/>
        <scheme val="minor"/>
      </rPr>
      <t xml:space="preserve">
&gt; 暗地损耗，力量弱于刑。
### 4‑5 相破
相破配对：</t>
    </r>
    <r>
      <rPr>
        <sz val="9"/>
        <color theme="4"/>
        <rFont val="宋体"/>
        <charset val="134"/>
        <scheme val="minor"/>
      </rPr>
      <t>子酉、卯午、辰丑、戌未、寅亥、巳申
- 发生相破的两个地支，全部藏干 ×0.95；</t>
    </r>
    <r>
      <rPr>
        <sz val="9"/>
        <color theme="1"/>
        <rFont val="宋体"/>
        <charset val="134"/>
        <scheme val="minor"/>
      </rPr>
      <t xml:space="preserve">
&gt; 轻微耗损，力量最弱，很多传统实战中可忽略。
&gt; 重要：*</t>
    </r>
    <r>
      <rPr>
        <sz val="9"/>
        <color theme="4"/>
        <rFont val="宋体"/>
        <charset val="134"/>
        <scheme val="minor"/>
      </rPr>
      <t xml:space="preserve">*同一地支同时触发多种关系（比如既冲又刑），系数连续相乘，不是相加。**
&gt; 例：地支同时被冲+相刑：`分数 ×0.5 ×0.8`。 </t>
    </r>
    <r>
      <rPr>
        <sz val="9"/>
        <color rgb="FFFF0000"/>
        <rFont val="宋体"/>
        <charset val="134"/>
        <scheme val="minor"/>
      </rPr>
      <t xml:space="preserve"> 贪合忘冲：有会合拱局时，不计冲刑破害
</t>
    </r>
    <r>
      <rPr>
        <sz val="9"/>
        <color theme="1"/>
        <rFont val="宋体"/>
        <charset val="134"/>
        <scheme val="minor"/>
      </rPr>
      <t xml:space="preserve">
## 5、同柱盖头、截脚修正规则
&gt; 仅**同一柱内天干与地支**生效；跨柱干支不直接生克。
- **</t>
    </r>
    <r>
      <rPr>
        <sz val="9"/>
        <color theme="4"/>
        <rFont val="宋体"/>
        <charset val="134"/>
        <scheme val="minor"/>
      </rPr>
      <t>盖头：天干克地支（干克支）**：天干、地支双方分数 ×0.8（互相扣减20%）
- **截脚：地支克天干（支克干）**：天干、地支双方分数 ×0.8（互相扣减20%）</t>
    </r>
    <r>
      <rPr>
        <sz val="9"/>
        <color theme="1"/>
        <rFont val="宋体"/>
        <charset val="134"/>
        <scheme val="minor"/>
      </rPr>
      <t xml:space="preserve">
- 干支一气（天干地支同五行）：不做扣减；
- 天地相合：优先论合，不再执行盖头截脚扣减。
&gt; 示例：
&gt; 壬午：壬水克午火 →盖头，干支均×0.8
&gt; 戊子：戊土克子水 →盖头，干支均×0.8
&gt; 甲申：申金克甲木 →截脚，干支均×0.8
## 6、月令旺相休囚死乘数（最终乘此系数）
&gt;</t>
    </r>
    <r>
      <rPr>
        <sz val="9"/>
        <color rgb="FFFF0000"/>
        <rFont val="宋体"/>
        <charset val="134"/>
        <scheme val="minor"/>
      </rPr>
      <t xml:space="preserve"> 以月支定月令，全局所有五行分数统一乘对应系数：
- 旺：五行与月令相同 → ×1.2
- 相：月令所生五行 → ×1.1
- 休：生月令的五行 → ×1.0
- 囚：克月令的五行 → ×0.7
- 死：被月令克制的五行 → ×0.5</t>
    </r>
    <r>
      <rPr>
        <sz val="9"/>
        <color theme="1"/>
        <rFont val="宋体"/>
        <charset val="134"/>
        <scheme val="minor"/>
      </rPr>
      <t xml:space="preserve">
|月令|旺|相|休|囚|死|
|---|---|---|---|---|---|
|寅月(木)|木1.2|火1.1|水1.0|金0.7|土0.5|
|卯月(木)|木1.2|火1.1|水1.0|金0.7|土0.5|
|辰月(土)|土1.2|金1.1|火1.0|木0.7|水0.5|
|巳月(火)|火1.2|土1.1|木1.0|水0.7|金0.5|
|午月(火)|火1.2|土1.1|木1.0|水0.7|金0.5|
|未月(土)|土1.2|金1.1|火1.0|木0.7|水0.5|
|申月(金)|金1.2|水1.1|土1.0|火0.7|木0.5|
|酉月(金)|金1.2|水1.1|土1.0|火0.7|木0.5|
|戌月(土)|土1.2|金1.1|火1.0|木0.7|水0.5|
|亥月(水)|水1.2|木1.1|金1.0|土0.7|火0.5|
|子月(水)|水1.2|木1.1|金1.0|土0.7|火0.5|
|丑月(土)|土1.2|金1.1|火1.0|木0.7|水0.5|
## 7、完整计算执行流程（代码逻辑顺序，必须严格按顺序）
1. 读取八字四柱，提取年干、年支、月干、月支、日干、日支、时干、时支；确定日主（日干）。
2. 分配各柱位置权重；**日干不参与计分**。
3. 拆分全部地支藏干：地支权重 × 藏干百分比，得到地支各五行原始分。
4. **地支作用处理（严格按优先级）**
    4‑1 处理六合/三合/三会/半拱局
    4‑2 处理六冲
    4‑3 处理相刑
    4‑4 处理六害
    4‑5 处理相破
    &gt; 多关系叠加：系数连续相乘。
5. 计算天干原始分：取天干位置权重；执行天干通根折扣系数，得到天干各五行原始分。
6. 处理同柱盖头/截脚：对本柱天干、地支分数分别 ×0.8。
7. 合并：同一五行，地支分数 + 天干分数，得到五行合并原始分。
8. 根据月支确定月令，把每一个五行合并原始分 × 月令旺衰系数，得到五行最终得分。
9. 划分：
   - 生扶日主：印星五行 + 比劫五行，求和 = 生扶总分
   - 克泄耗日主：官杀五行 + 财星五行 + 食伤五行，求和 = 克泄耗总分
10. 输出：各五行最终得分、各十神得分、生扶总分、克泄耗总分；对比判定身旺/身弱/中和。
## 8、十神映射规则（由日主五行决定）
&gt; 十神没有独立分数，十神力量 = 对应五行的最终得分；正/偏只区分阴阳，不改变分值。
- 生我者：印星；我生者：食伤；
- 同我者：比劫；我克者：财星；克我者：官杀。
## 9、模型约束说明（代码注释需要带上）
1. 本模型为现代量化模拟，古代命理无此数字体系；
2. 作用优先级：合 &gt; 冲 &gt; 刑 &gt; 害 &gt; 破；1.有会和合时，不计冲刑害破的力量， 2.没有会合局时，多重关系系数相乘，不是相加；
3. 静态权重无法完全模拟“气势”，结果仅作演算参考，不能直接替代传统命理实战。</t>
    </r>
  </si>
  <si>
    <t>大运：天干10，地支35；前5年：天干权重0.7、地支0.3；后5年：天干权重0.3、地支0.7；
流年：天干6，地支20；
流月：天干3，地支10；
流日：天干1，地支3；</t>
  </si>
  <si>
    <t>步骤三</t>
  </si>
  <si>
    <t>步骤五</t>
  </si>
  <si>
    <t>案例</t>
  </si>
  <si>
    <t>天干通根</t>
  </si>
  <si>
    <t>本气根</t>
  </si>
  <si>
    <r>
      <rPr>
        <sz val="14"/>
        <color theme="1"/>
        <rFont val="宋体"/>
        <charset val="134"/>
        <scheme val="minor"/>
      </rPr>
      <t>同柱盖头、截脚修正规则
&gt; 仅**同一柱内天干与地支**生效；跨柱干支不直接生克。
- **盖头：</t>
    </r>
    <r>
      <rPr>
        <sz val="14"/>
        <color theme="4"/>
        <rFont val="宋体"/>
        <charset val="134"/>
        <scheme val="minor"/>
      </rPr>
      <t>天干克地支（干克支）**：天干、地支双方分数 ×0.8（</t>
    </r>
    <r>
      <rPr>
        <sz val="14"/>
        <color theme="1"/>
        <rFont val="宋体"/>
        <charset val="134"/>
        <scheme val="minor"/>
      </rPr>
      <t>互相扣减20%）
- **截脚：</t>
    </r>
    <r>
      <rPr>
        <sz val="14"/>
        <color theme="4"/>
        <rFont val="宋体"/>
        <charset val="134"/>
        <scheme val="minor"/>
      </rPr>
      <t>地支克天干（支克干）**：天干、地支双方分数 ×0.8</t>
    </r>
    <r>
      <rPr>
        <sz val="14"/>
        <color theme="1"/>
        <rFont val="宋体"/>
        <charset val="134"/>
        <scheme val="minor"/>
      </rPr>
      <t>（互相扣减20%）</t>
    </r>
  </si>
  <si>
    <t>年柱</t>
  </si>
  <si>
    <t>月柱</t>
  </si>
  <si>
    <t>日柱</t>
  </si>
  <si>
    <t>时柱</t>
  </si>
  <si>
    <t>大运</t>
  </si>
  <si>
    <t>流年</t>
  </si>
  <si>
    <t>流月</t>
  </si>
  <si>
    <t>流日</t>
  </si>
  <si>
    <t>中气根</t>
  </si>
  <si>
    <t>70&amp;</t>
  </si>
  <si>
    <t>干 神</t>
  </si>
  <si>
    <t>余气根</t>
  </si>
  <si>
    <t>步骤一</t>
  </si>
  <si>
    <t>天干</t>
  </si>
  <si>
    <t>日元</t>
  </si>
  <si>
    <r>
      <t>10</t>
    </r>
    <r>
      <rPr>
        <sz val="9"/>
        <color theme="1"/>
        <rFont val="宋体"/>
        <charset val="134"/>
        <scheme val="minor"/>
      </rPr>
      <t>（前5年天干*70%，后五年*30%）</t>
    </r>
  </si>
  <si>
    <t>完全虚浮</t>
  </si>
  <si>
    <t>地支</t>
  </si>
  <si>
    <t>35（前5年地支*30%，后五年*70%）</t>
  </si>
  <si>
    <t>步骤四</t>
  </si>
  <si>
    <t>步骤六</t>
  </si>
  <si>
    <t>步骤二</t>
  </si>
  <si>
    <t>藏干</t>
  </si>
  <si>
    <t>本气</t>
  </si>
  <si>
    <t>地支会合拱局</t>
  </si>
  <si>
    <t xml:space="preserve"> 六合 / 三合 / 三会 / 半拱局
- 成局五行总分 ×1.5
- 该地支内**非局的其余藏干分数 ×0.3**
- 无合冲会局则不启用本条。</t>
  </si>
  <si>
    <r>
      <rPr>
        <sz val="14"/>
        <color theme="1"/>
        <rFont val="宋体"/>
        <charset val="134"/>
        <scheme val="minor"/>
      </rPr>
      <t xml:space="preserve"> 以月支定月令，全局所有五行分数统一乘对应系数：
</t>
    </r>
    <r>
      <rPr>
        <sz val="14"/>
        <color theme="4"/>
        <rFont val="宋体"/>
        <charset val="134"/>
        <scheme val="minor"/>
      </rPr>
      <t>- 旺：五行与月令相同 → ×1.2
- 相：月令所生五行 → ×1.1
- 休：生月令的五行 → ×1.0
- 囚：克月令的五行 → ×0.7
- 死：被月令克制的五行 → ×0.5</t>
    </r>
  </si>
  <si>
    <t>中气</t>
  </si>
  <si>
    <t>地支冲刑害破</t>
  </si>
  <si>
    <r>
      <rPr>
        <sz val="11"/>
        <color theme="1"/>
        <rFont val="宋体"/>
        <charset val="134"/>
        <scheme val="minor"/>
      </rPr>
      <t>冲：明面上剧烈碰撞，系数大；</t>
    </r>
    <r>
      <rPr>
        <sz val="9"/>
        <color theme="4"/>
        <rFont val="宋体"/>
        <charset val="134"/>
        <scheme val="minor"/>
      </rPr>
      <t>被冲的地支全部藏干分数 ×0.5；两支互冲则两支都×0.5</t>
    </r>
    <r>
      <rPr>
        <sz val="11"/>
        <color theme="1"/>
        <rFont val="宋体"/>
        <charset val="134"/>
        <scheme val="minor"/>
      </rPr>
      <t xml:space="preserve">
刑：内耗、纠缠，力量次于冲；
</t>
    </r>
    <r>
      <rPr>
        <sz val="9"/>
        <color theme="4"/>
        <rFont val="宋体"/>
        <charset val="134"/>
        <scheme val="minor"/>
      </rPr>
      <t>三刑（寅巳申、丑戌未）：
   - 三字齐全：参与刑的两支/三支，全部藏干 ×0.8
   - 两字相见（如寅巳、丑戌）：参与刑的地支藏干 ×0.85
2. 子卯刑（无礼之刑）：子、卯两支藏干 ×0.85
3. 自刑（辰辰、午午、酉酉、亥亥）：同地支重复出现，该地支藏干 ×0.85</t>
    </r>
    <r>
      <rPr>
        <sz val="11"/>
        <color theme="1"/>
        <rFont val="宋体"/>
        <charset val="134"/>
        <scheme val="minor"/>
      </rPr>
      <t xml:space="preserve">
害：暗伤、小人，力量弱于刑；
</t>
    </r>
    <r>
      <rPr>
        <sz val="9"/>
        <color theme="4"/>
        <rFont val="宋体"/>
        <charset val="134"/>
        <scheme val="minor"/>
      </rPr>
      <t>六害配对：子未、丑午、寅巳、卯辰、申亥、酉戌- 发生六害的两个地支，全部藏干 ×0.9</t>
    </r>
    <r>
      <rPr>
        <sz val="11"/>
        <color theme="1"/>
        <rFont val="宋体"/>
        <charset val="134"/>
        <scheme val="minor"/>
      </rPr>
      <t xml:space="preserve">
破：细微损耗，力量最弱。
</t>
    </r>
    <r>
      <rPr>
        <sz val="9"/>
        <color theme="4"/>
        <rFont val="宋体"/>
        <charset val="134"/>
        <scheme val="minor"/>
      </rPr>
      <t>子酉、卯午、辰丑、戌未、寅亥、巳申
- 发生相破的两个地支，全部藏干 ×0.95；很多传统实战中忽略不计</t>
    </r>
  </si>
  <si>
    <t>余气</t>
  </si>
  <si>
    <t>贪合忘冲 （有合会拱局，冲刑破害忽略不计）</t>
  </si>
  <si>
    <t>同一地支同时触发多种关系（比如既冲又刑），系数连续相乘，不是相加。**
&gt; 例：地支同时被冲+相刑：`分数 ×0.5 ×0.8`。</t>
  </si>
  <si>
    <r>
      <t xml:space="preserve">步骤七判断格局，特别注意是否有从强 从弱格局
步骤八 加入大运流年流月看所有十二~十四个字的 </t>
    </r>
    <r>
      <rPr>
        <b/>
        <sz val="11"/>
        <color rgb="FFFF0000"/>
        <rFont val="宋体"/>
        <charset val="134"/>
        <scheme val="minor"/>
      </rPr>
      <t>会合拱  冲刑害破</t>
    </r>
    <r>
      <rPr>
        <sz val="11"/>
        <color rgb="FFFF0000"/>
        <rFont val="宋体"/>
        <charset val="134"/>
        <scheme val="minor"/>
      </rPr>
      <t xml:space="preserve">  判断格局</t>
    </r>
  </si>
  <si>
    <t>支神</t>
  </si>
  <si>
    <r>
      <t xml:space="preserve">八字旺衰‑格局完整判定归档文档 V1.1
文档说明：
1. 区分原局静态格局与大运/流年/流月/流日动态格局；原局八字本身不会改变，格局转换由岁运干支介入，通过冲、合、刑、害、破改变地支藏干有效分数实现。
2. 判定执行顺序：藏干折算 → 可用根校验 → 旺衰层级划分 → 真假从格熔断校验 → 扶抑用神 → 调候用神 → 岁运动态推演。
3. 熔断条件优先级高于分数占比；根气只看地支藏干折算后有效分数，天干虚浮不计为根。
4. 量化阈值：最小有效根阈值 = 1；占比 = 生扶总分 ÷ 全局五行总分。
5. 权重参考：
- 原局：固定权重；
</t>
    </r>
    <r>
      <rPr>
        <b/>
        <sz val="9"/>
        <color rgb="FFFF0000"/>
        <rFont val="宋体"/>
        <charset val="134"/>
        <scheme val="minor"/>
      </rPr>
      <t>- 大运：天干10，地支35；前5年：天干权重0.7、地支0.3；后5年：天干权重0.3、地支0.7；
- 流年：天干6，地支20；
- 流月：天干3，地支10；
- 流日：天干1，地支3；</t>
    </r>
    <r>
      <rPr>
        <sz val="9"/>
        <color theme="4"/>
        <rFont val="宋体"/>
        <charset val="134"/>
        <scheme val="minor"/>
      </rPr>
      <t xml:space="preserve">
6. 月令永远使用原局月支；岁运不替换月令；旺相休囚死乘数沿用原局月令。
7. 合化优先级：三会 &gt; 三合 &gt; 六合 &gt; 六冲 &gt; 三刑 &gt; 六害 &gt; 相破。
 </t>
    </r>
    <r>
      <rPr>
        <sz val="9"/>
        <color theme="1"/>
        <rFont val="宋体"/>
        <charset val="134"/>
        <scheme val="minor"/>
      </rPr>
      <t xml:space="preserve">
目录
1. 基础概念与核心定义
2. 地支合化/合绊处理规则（含天干五合）
3. 印绶被制服完整定义（真从弱关键熔断条件）
4. 原局静态旺衰七层划分
5. 原局静态格局判定：正格、假从、真从强、真从弱
6. 扶抑用神 &amp; 调候用神：定义、优先级、冲突处理
7. 岁运格局转换完整规则（大运‑流年‑流月‑流日）
8. 格局转换总对照表
9. 高频易错点汇总
10. 实战示例
1、基础概念与核心定义
1.1 核心名词
- 生扶：印星 + 比劫；代表生助日主力量
- 克泄耗：财星 + 官杀 + 食伤；代表消耗克制日主力量
- 可用根：</t>
    </r>
    <r>
      <rPr>
        <sz val="9"/>
        <color rgb="FFFF0000"/>
        <rFont val="宋体"/>
        <charset val="134"/>
        <scheme val="minor"/>
      </rPr>
      <t>地支藏干折算后分数＞最小阈值1，代表该五行有实际根气，可以发挥作用；≤1视为根气被制死，不可用。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rgb="FFFF0000"/>
        <rFont val="宋体"/>
        <charset val="134"/>
        <scheme val="minor"/>
      </rPr>
      <t>- 假从弱（极弱）：日主力量极弱，但仍存在日主可用根 或 印星可用地支根；归属正格，喜印比，不能顺势从弱。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4"/>
        <rFont val="宋体"/>
        <charset val="134"/>
        <scheme val="minor"/>
      </rPr>
      <t>- 真从弱（弱极）：日主无可用根，印星全部地支根被制服；全局克泄耗成势；顺势喜财官食伤，忌印比。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rgb="FFFF0000"/>
        <rFont val="宋体"/>
        <charset val="134"/>
        <scheme val="minor"/>
      </rPr>
      <t>- 假从强（极强）：印比力量极旺，但残留财官食伤可用地支根；归属正格，喜财官食伤，不能顺势从强。</t>
    </r>
    <r>
      <rPr>
        <sz val="9"/>
        <color theme="1"/>
        <rFont val="宋体"/>
        <charset val="134"/>
        <scheme val="minor"/>
      </rPr>
      <t xml:space="preserve">
- 真从强（旺极）：印比压倒性旺势，财官食伤全部无可用地支根；顺势喜印比，忌财官食伤。
</t>
    </r>
    <r>
      <rPr>
        <sz val="9"/>
        <color rgb="FFFF0000"/>
        <rFont val="宋体"/>
        <charset val="134"/>
        <scheme val="minor"/>
      </rPr>
      <t>- 破格：从格格局被打破，退回普通正格。</t>
    </r>
    <r>
      <rPr>
        <sz val="9"/>
        <color theme="1"/>
        <rFont val="宋体"/>
        <charset val="134"/>
        <scheme val="minor"/>
      </rPr>
      <t xml:space="preserve">
- 合绊（合而不化）：干支互相牵绊，五行本气不变，仅力量增减；不会消灭原有藏干根气。
</t>
    </r>
    <r>
      <rPr>
        <sz val="9"/>
        <color rgb="FFFF0000"/>
        <rFont val="宋体"/>
        <charset val="134"/>
        <scheme val="minor"/>
      </rPr>
      <t>- 合化成功：干支气场发生改变，合化五行获得巨大权重；原有杂气藏干保留残气，不直接删除</t>
    </r>
    <r>
      <rPr>
        <sz val="9"/>
        <color theme="1"/>
        <rFont val="宋体"/>
        <charset val="134"/>
        <scheme val="minor"/>
      </rPr>
      <t>。
重要公理：天干合化，只能改变天干五行，不能改变地支藏干根气。只有地支合化/冲刑害会影响地支根气。
2、地支合化/合绊处理规则（含天干五合）
2.1 天干五合（丙辛合水、甲己合土等）
1. 合化成功：天干二干整体变为化神五行；地支全部藏干、根气分数保持不变。
2. 合绊（合而不化）：天干互相牵制，无法正常发挥原十神作用；地支藏干完全不受影响。
结论：天干五合无论是否化成功，都不能消灭地支根气，不能用来判定印绶被制服。
2.2 地支三合/六合/三会（寅午戌三合火、亥卯未三合木等）
情况A：合化成功（满足引化条件：月令助力，或化神天干透出）
1. </t>
    </r>
    <r>
      <rPr>
        <sz val="9"/>
        <color rgb="FFFF0000"/>
        <rFont val="宋体"/>
        <charset val="134"/>
        <scheme val="minor"/>
      </rPr>
      <t>参与合局地支：合化五行获得权重放大；原地支内部杂气藏干乘以衰减系数0.1‑0.2，保留残气，不直接删除清零。</t>
    </r>
    <r>
      <rPr>
        <sz val="9"/>
        <color theme="1"/>
        <rFont val="宋体"/>
        <charset val="134"/>
        <scheme val="minor"/>
      </rPr>
      <t xml:space="preserve">
2. 例：寅午戌三合火局成功，午中己土印杂气，不会直接消失，只是力量大幅削弱。
3. 判定：合化之后仍要计算杂气藏干折算分数。
- 若杂气藏干折算分数＞1：仍存在可用根，不算印绶被制服。
- 只有合化叠加冲、刑、害多重打击，藏干分数≤1，才算印绶被制服。
情况B：合绊（合而不化，无引化）
1. 仅合局五行力量小幅加成；全部藏干完整保留，只做小幅衰减，不清除任何藏干。
2. 合绊状态下，永远不能判定印绶被制服。
关键提醒</t>
    </r>
    <r>
      <rPr>
        <sz val="9"/>
        <color rgb="FFFF0000"/>
        <rFont val="宋体"/>
        <charset val="134"/>
        <scheme val="minor"/>
      </rPr>
      <t>：单纯地支合化成功，一般不足以制服印根；必须叠加冲刑害多重围剿，才会把杂气压到阈值以下。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rgb="FFFF0000"/>
        <rFont val="宋体"/>
        <charset val="134"/>
        <scheme val="minor"/>
      </rPr>
      <t>3、印绶被制服完整定义（真从弱硬性熔断条件）</t>
    </r>
    <r>
      <rPr>
        <sz val="9"/>
        <color theme="1"/>
        <rFont val="宋体"/>
        <charset val="134"/>
        <scheme val="minor"/>
      </rPr>
      <t xml:space="preserve">
</t>
    </r>
    <r>
      <rPr>
        <b/>
        <sz val="9"/>
        <color rgb="FFFF0000"/>
        <rFont val="宋体"/>
        <charset val="134"/>
        <scheme val="minor"/>
      </rPr>
      <t>古籍：印绶被制服，逢生不受生，方可从弱。</t>
    </r>
    <r>
      <rPr>
        <b/>
        <sz val="9"/>
        <color theme="1"/>
        <rFont val="宋体"/>
        <charset val="134"/>
        <scheme val="minor"/>
      </rPr>
      <t xml:space="preserve">
 </t>
    </r>
    <r>
      <rPr>
        <sz val="9"/>
        <color theme="1"/>
        <rFont val="宋体"/>
        <charset val="134"/>
        <scheme val="minor"/>
      </rPr>
      <t xml:space="preserve">
3.1 定义
</t>
    </r>
    <r>
      <rPr>
        <b/>
        <sz val="9"/>
        <color theme="4"/>
        <rFont val="宋体"/>
        <charset val="134"/>
        <scheme val="minor"/>
      </rPr>
      <t>印星原本存在地支藏干根气（本气/中气/余气），经过冲、合化、刑、害多重作用叠加之后，印星全部地支藏干折算后分数 ≤最小阈值(1)；印星彻底丧失生扶日主能力。</t>
    </r>
    <r>
      <rPr>
        <sz val="9"/>
        <color theme="1"/>
        <rFont val="宋体"/>
        <charset val="134"/>
        <scheme val="minor"/>
      </rPr>
      <t xml:space="preserve">
</t>
    </r>
    <r>
      <rPr>
        <b/>
        <sz val="9"/>
        <color theme="4"/>
        <rFont val="宋体"/>
        <charset val="134"/>
        <scheme val="minor"/>
      </rPr>
      <t xml:space="preserve"> 
即便天干还透出印星，也属于虚浮无根，逢生不受生，无法生日主。</t>
    </r>
    <r>
      <rPr>
        <sz val="9"/>
        <color theme="1"/>
        <rFont val="宋体"/>
        <charset val="134"/>
        <scheme val="minor"/>
      </rPr>
      <t xml:space="preserve">
3.2 明确不属于“印绶被制服”的情形
1. </t>
    </r>
    <r>
      <rPr>
        <sz val="9"/>
        <color theme="4"/>
        <rFont val="宋体"/>
        <charset val="134"/>
        <scheme val="minor"/>
      </rPr>
      <t>仅仅天干印星被财星克伤，地支印根完好 → 不算制服。
2. 仅地支合化成功，杂气藏干残分仍然＞1 → 不算制服。
3. 印根只是受伤、力量变弱，但折算分数＞1 → 只是受伤，没有被制服。</t>
    </r>
    <r>
      <rPr>
        <sz val="9"/>
        <color theme="1"/>
        <rFont val="宋体"/>
        <charset val="134"/>
        <scheme val="minor"/>
      </rPr>
      <t xml:space="preserve">
比喻：印星地支根=树根；被制服=树根被挖断；只是受伤=树根受损但尚有存活，依旧可以供给养分。
4、原局静态旺衰七层划分（藏干折算完成后）
生扶占比 = 生扶总分 ÷ 全局总分
旺衰层级 生扶占比区间 核心特征 格局归属 
</t>
    </r>
    <r>
      <rPr>
        <sz val="9"/>
        <color theme="4"/>
        <rFont val="宋体"/>
        <charset val="134"/>
        <scheme val="minor"/>
      </rPr>
      <t xml:space="preserve">中和平衡 40%‑60% 生扶与克泄耗力量接近，五行流通 正格，无固定扶抑喜忌，看岁运扰动 
偏弱（普通身弱） 20%‑40% 日主有可用根，有帮扶，但力量不足 正格，扶抑喜印比 
偏旺（普通身旺） 60%‑80% 日主得令得地，帮扶多，仍有制衡力量 正格，扶抑喜财官食伤 
极弱（假从弱） 8%‑20% 日主力量极低；存在日主可用根 OR 印星可用地支根 假从弱（正格范畴，喜印比） 
极强（假从强） 80%‑92% 印比力量压倒性；残留财官食伤可用地支根 假从强（正格范畴，喜财官食伤） 
真从弱（弱极） ＜8% 日主无可用根；印星无可用地支根；克泄耗成势 特殊从格，喜财官食伤，忌印比 
真从强（旺极） ＞92% 印比压倒性；财官食伤全部无可用地支根 特殊从格，喜印比，忌财官食伤 </t>
    </r>
    <r>
      <rPr>
        <sz val="9"/>
        <color theme="1"/>
        <rFont val="宋体"/>
        <charset val="134"/>
        <scheme val="minor"/>
      </rPr>
      <t xml:space="preserve">
重点：极弱≠真从弱；极强≠真从强。极弱/极强只是力量程度；是否真从，看熔断条件（是否残留可用根）。
5、原局静态格局判定标准
判定流程：计算藏干折算分数 → 判断可用根 → 校验熔断条件 → 判定格局。
</t>
    </r>
    <r>
      <rPr>
        <sz val="9"/>
        <color rgb="FFFF0000"/>
        <rFont val="宋体"/>
        <charset val="134"/>
        <scheme val="minor"/>
      </rPr>
      <t>5.1 真从弱（必须全部同时满足）
1. cond1：日主全部地支藏干（本气/中气/余气）折算后≤1，无任何可用日主根；天干无比劫透出帮扶。
2. cond2：印星全部地支藏干折算后≤1；印绶被制服，虚浮，不能生扶日主。
3. cond3：克泄耗（财官食伤）力量压倒性成势，所从之神不被严重克制。
4. cond4：生扶（印+比劫）总分占比＜8%。</t>
    </r>
    <r>
      <rPr>
        <sz val="9"/>
        <color theme="1"/>
        <rFont val="宋体"/>
        <charset val="134"/>
        <scheme val="minor"/>
      </rPr>
      <t xml:space="preserve">
</t>
    </r>
    <r>
      <rPr>
        <b/>
        <sz val="9"/>
        <color rgb="FFFF0000"/>
        <rFont val="宋体"/>
        <charset val="134"/>
        <scheme val="minor"/>
      </rPr>
      <t>熔断规则：只要 cond1 或者 cond2任意一条不成立 → 不成立真从弱。</t>
    </r>
    <r>
      <rPr>
        <sz val="9"/>
        <color theme="1"/>
        <rFont val="宋体"/>
        <charset val="134"/>
        <scheme val="minor"/>
      </rPr>
      <t xml:space="preserve">
- 若生扶占比8‑20%：判定假从弱（极弱），归正格，喜印比。
- 若生扶占比＞20%：普通身弱。
5.2 假从弱（原局）
1. 生扶占比8‑20%，日主力量极弱，克泄耗气势强盛。
2. 满足二者其一：
- ①日主留有中气/余气可用根；
- ②印星存在可用地支根，可以生扶日主。
用神：扶抑喜印比，忌财官食伤；原局扶身力量不足。
</t>
    </r>
    <r>
      <rPr>
        <sz val="9"/>
        <color rgb="FFFF0000"/>
        <rFont val="宋体"/>
        <charset val="134"/>
        <scheme val="minor"/>
      </rPr>
      <t>5.3 真从强（必须全部同时满足）
1. condA：财官食伤全部地支藏干折算后≤1；无可用根，无法制衡日主。
2. condB：印比力量压倒性成势，得月令。
3. condC：生扶（印+比劫）总分占比＞92%。</t>
    </r>
    <r>
      <rPr>
        <sz val="9"/>
        <color theme="1"/>
        <rFont val="宋体"/>
        <charset val="134"/>
        <scheme val="minor"/>
      </rPr>
      <t xml:space="preserve">
</t>
    </r>
    <r>
      <rPr>
        <b/>
        <sz val="9"/>
        <color rgb="FFFF0000"/>
        <rFont val="宋体"/>
        <charset val="134"/>
        <scheme val="minor"/>
      </rPr>
      <t>熔断规则：只要财官食伤存在可用地支根，不成立真从强。</t>
    </r>
    <r>
      <rPr>
        <sz val="9"/>
        <color theme="1"/>
        <rFont val="宋体"/>
        <charset val="134"/>
        <scheme val="minor"/>
      </rPr>
      <t xml:space="preserve">
- 若生扶占比80‑92%：判定假从强（极强），归正格，喜财官食伤。
- 若生扶占比60‑80%：普通身旺。
5.4 假从强（原局）
1. 生扶占比80‑92%，印比气势极旺。
2. 残留杂质：财官食伤有微弱可用地支根，但力量不足以破局。
用神：扶抑喜财官食伤，忌印比。
5.5 普通正格（平衡、偏弱、偏旺）
- 偏弱：生扶20‑40%，有可用根；喜印比。
- 偏旺：生扶60‑80%，有制衡；喜财官食伤。
- 中和平衡：40‑60%；扶抑无固定喜忌，看岁运。
原局格局速查表
原局格局 生扶占比 熔断条件 扶抑用神 
真从弱 ＜8% 日主无可用根 AND 印星无可用根 喜财官食伤，忌印比 
假从弱（极弱） 8‑20% 存在日主可用根 OR 印星可用根 喜印比，忌财官食伤 
普通身弱 20‑40% 有可用根 喜印比，忌财官食伤 
中和平衡 40‑60% 力量均衡 无固定扶抑用神，看岁运 
普通身旺 60‑80% 存在财官食伤可用根 喜财官食伤，忌印比 
假从强（极强） 80‑92% 残留财官食伤可用根 喜财官食伤，忌印比 
真从强（旺极） ＞92% 财官食伤全部无可用根 喜印比，忌财官食伤 
</t>
    </r>
  </si>
  <si>
    <r>
      <t xml:space="preserve">6、扶抑用神 VS 调候用神（两套独立维度）
</t>
    </r>
    <r>
      <rPr>
        <sz val="9"/>
        <color rgb="FFFF0000"/>
        <rFont val="宋体"/>
        <charset val="134"/>
        <scheme val="minor"/>
      </rPr>
      <t>扶抑：解决日主能不能扛住全局压力（旺衰格局）。
调候：解决全局气候寒暖燥湿，解决五行生机；调候不改变格局定性，不会把假从变为真从。</t>
    </r>
    <r>
      <rPr>
        <sz val="9"/>
        <color theme="1"/>
        <rFont val="宋体"/>
        <charset val="134"/>
        <scheme val="minor"/>
      </rPr>
      <t xml:space="preserve">
6.1 优先级规则
1. </t>
    </r>
    <r>
      <rPr>
        <sz val="9"/>
        <color theme="4"/>
        <rFont val="宋体"/>
        <charset val="134"/>
        <scheme val="minor"/>
      </rPr>
      <t>气候极端（寒冬、盛夏燥热）：调候优先于扶抑。全局冻住或者烤干，格局再好也没有生机。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4"/>
        <rFont val="宋体"/>
        <charset val="134"/>
        <scheme val="minor"/>
      </rPr>
      <t>2. 气候平和（春秋）：扶抑优先，调候仅作辅助。</t>
    </r>
    <r>
      <rPr>
        <sz val="9"/>
        <color theme="1"/>
        <rFont val="宋体"/>
        <charset val="134"/>
        <scheme val="minor"/>
      </rPr>
      <t xml:space="preserve">
3. </t>
    </r>
    <r>
      <rPr>
        <sz val="9"/>
        <color theme="4"/>
        <rFont val="宋体"/>
        <charset val="134"/>
        <scheme val="minor"/>
      </rPr>
      <t>从格特殊规则：真从格，如果调候用神属于逆势五行，优先保护从格格局，不能强行用调候破坏从格。</t>
    </r>
    <r>
      <rPr>
        <sz val="9"/>
        <color theme="1"/>
        <rFont val="宋体"/>
        <charset val="134"/>
        <scheme val="minor"/>
      </rPr>
      <t xml:space="preserve">
4. 扶抑与调候用神冲突：优先寻找通关五行；适度取用调候，不可以过度破坏格局用神根基。
5. 最优状态：扶抑用神与调候用神为同一五行，一举两得。
6.2 示例
例：辛金生于午月（盛夏火炎土燥），原局假从弱，杀旺，有印星根。
- 扶抑：喜印比，化杀护身；
- 调候：全局燥热，需要水来润局；
- 冲突：水克印。处理：水取适度调候，不可大水克坏印星根基。
例：原局真从弱，调候需要印星；印星是从格忌神。此时优先保护真从格局，不强行取用印星调候。
6.3 输出格式
输出两套用神集合：
1. 扶抑用神：由格局（正格、真假从）决定；
2. 调候用神：由月令气候得出；
3. 冲突标记：是否冲突，给出取舍建议。
7、岁运格局转换完整规则（大运‑流年‑流月‑流日）
核心机制：
1. 原局静态格局永久保存；岁运不会修改原局，只是并入干支，重新全套计算藏干拆分、冲合刑害、通根、盖头截脚，生成动态格局。
2. </t>
    </r>
    <r>
      <rPr>
        <sz val="9"/>
        <color theme="4"/>
        <rFont val="宋体"/>
        <charset val="134"/>
        <scheme val="minor"/>
      </rPr>
      <t>格局发生转换的必要条件：必须改变地支根气；仅天干被克，地支根还在，不会发生格局切换。</t>
    </r>
    <r>
      <rPr>
        <sz val="9"/>
        <color theme="1"/>
        <rFont val="宋体"/>
        <charset val="134"/>
        <scheme val="minor"/>
      </rPr>
      <t xml:space="preserve">
3.</t>
    </r>
    <r>
      <rPr>
        <sz val="9"/>
        <color theme="4"/>
        <rFont val="宋体"/>
        <charset val="134"/>
        <scheme val="minor"/>
      </rPr>
      <t> 层级计算顺序：原局 → 并入大运得到大运动态格局 → 并入流年得到流年动态格局 → 并入流月得到流月动态格局 → 并入流日得到流日动态格局。
4. 力量层级：大运＞流年＞流月＞流日。
- 大运：十年周期，具备改变格局的能力；
- 流年：年度，可触发格局转换；
- 流月：月度，一般只改变五行得分；只有大运加流年合力加持，流月才可以临时改变格局；流月结束回归流年格局；</t>
    </r>
    <r>
      <rPr>
        <sz val="9"/>
        <color theme="1"/>
        <rFont val="宋体"/>
        <charset val="134"/>
        <scheme val="minor"/>
      </rPr>
      <t xml:space="preserve">
- 流日：单日，力量最弱，几乎不会改变格局，只做短期五行扰动；仅在大运加流年加流月三重合力下才会出现临时格局变化，流日一过立刻复原。
</t>
    </r>
    <r>
      <rPr>
        <sz val="9"/>
        <color rgb="FFFF0000"/>
        <rFont val="宋体"/>
        <charset val="134"/>
        <scheme val="minor"/>
      </rPr>
      <t>7.1 假从弱（极弱） ↔ 真从弱
① 假从弱 → 真从弱（岁运触发，全部条件同时满足）
1. 原局残留印星可用地支根，被岁运冲、合化、刑、害，折算分数≤1，印绶被制服，印星虚浮，无法生身；
2. 原局日主仅存微弱可用根，一并被岁运摧毁，折算分数≤1；
3. 全局克泄耗依旧保持压倒性旺势。
动态格局变为：真从弱；用神反转：喜财官食伤，忌印比。</t>
    </r>
    <r>
      <rPr>
        <sz val="9"/>
        <color theme="1"/>
        <rFont val="宋体"/>
        <charset val="134"/>
        <scheme val="minor"/>
      </rPr>
      <t xml:space="preserve">
② 真从弱 → 破格转为普通身弱
岁运带来印星或者比劫的地支可用根，日主得到生扶；仅仅天干透出印比，地支无根虚浮，不算破格。
动态格局变为普通身弱；用神变回喜印比。
7.2 假从强（极强） ↔ 真从强
① 假从强 → 真从强（岁运触发，全部条件同时满足）
1. 原局残留财官食伤的可用地支根，被岁运冲合刑克，折算分数≤1，杂质清除；
2. 印比依旧保持全局压倒性旺势。
动态格局变为：真从强；用神反转：喜印比，忌财官食伤。
② 真从强 → 破格转为普通身旺
岁运带来财官食伤的地支可用根，可以制衡印比旺势；仅仅天干透出财官食伤，地支无根虚浮不算破格。
动态格局变为普通身旺；用神变回喜财官食伤。
7.3 普通正格与从格互相转换
1. 普通身弱，岁运把仅存日主根、印根全部废掉，克泄耗成势 → 转为真从弱。
2. 普通身旺，岁运把全部财官食伤根废掉，印比一统全局 → 转为真从强。
3. 真从格遇到逆势地支根，直接破格退回普通正格。
7.4 流月、流日特殊约束
1. 流月：一般不改变大运、流年定型格局；只有大运加流年共同围剿地支根气，流月叠加力量，才会出现临时格局变化；流月结束，格局回归流年格局。
2. 流日：力量最弱，绝大多数场景不会改变格局，只做短期五行扰动；仅大运加流年加流月三重合力，才会出现临时格局切换；流日结束，立刻回归流月格局。
8、格局转换总对照表
原局静态格局 岁运触发条件 动态格局变化 用神变化 
假从弱（极弱） 岁运废掉印根+废掉日主微根，财官食伤依旧成势 假从弱 → 真从弱 喜财官食伤，忌印比 
假从弱（极弱） 岁运带来印比可用地支根 假从弱 → 普通身弱正格 维持喜印比 
真从弱 岁运带来印比可用地支根 真从弱 → 普通身弱正格 喜印比，忌财官食伤 
假从强（极强） 岁运废掉财官食伤残留根，印比依旧成势 假从强 → 真从强 喜印比，忌财官食伤 
假从强（极强） 岁运带来财官食伤可用地支根 假从强 → 普通身旺正格 维持喜财官食伤 
真从强 岁运带来财官食伤可用地支根 真从强 → 普通身旺正格 喜财官食伤，忌财官食伤 
普通身弱 岁运废掉日主根、印根，克泄耗成势 普通身弱 → 真从弱 喜财官食伤，忌印比 
普通身旺 岁运废掉财官食伤全部根，印比一统全局 普通身旺 → 真从强 喜印比，忌财官食伤 
9、高频易错点汇总
1. ❌误区：日主天干无比劫=日主无根。
✅纠正：天干不透比劫，地支中气、余气藏干依然算日主根；根看地支藏干，不看天干有没有透出。
2. ❌误区：只要岁运天干克掉印星，就可以假从弱转真从弱。
✅纠正：必须把印星的地支根折算到阈值以下；仅仅天干被克，地支根尚存，格局不变。
3. ❌误区：真从格，岁运只要透出印比、财官就破格。
✅纠正：虚浮天干没有地支根，不足以破格；必须岁运带来地支可用根，才会触发破格。
4. ❌误区：假从弱=真从弱。
✅纠正：假从弱是极弱，但有一丝生扶火种，依旧喜印比；只有岁运把火种彻底灭掉，才转为真从弱。
5. ❌误区：大运可以替换原局月令。
✅纠正：旺相休囚死乘数永远使用出生原局月令；大运只新增力量，不替换月令。
6. ❌误区：流月、流日可以长期改变格局。
✅纠正：流月、流日是短期扰动，结束就回归上层格局；只有大运才会持续十年改变格局。
7. ❌误区：地支三合合化成功，原地支藏干直接全部不计。
✅纠正：合化成功是改变主导气场，不是抹掉藏干；杂气保留残分，需要叠加冲刑害才会把分数压到阈值以下。
8. ❌误区：天干合化可以消灭地支根气。
✅纠正：天干合化只改变天干；地支根气不受天干合化影响。
9. ❌误区：调候用神可以推翻真假从格定性。
✅纠正：调候只是用神需求，不会改变格局定性；假从弱，再需要调候水，依然是假从弱。
10、实战示例
原局：甲木日主，午月，地支午，午中己土正印（印星中气根）；日主地支完全无根，天干无比劫。
原局：午中己土印根存在，不满足真从弱条件，假从弱，喜印比。
流年：寅、午、戌全部出现，形成寅午戌三合火局，合化成功。
午中己土被合局衰减，折算分数大于阈值。
→ 印根尚有残气，仍然假从弱，没有变成真从弱。
叠加大运子水冲午，双重打击，午中己土折算分数小于阈值。
→ 印绶被制服。此时全部条件满足，动态格局转为真从弱。</t>
    </r>
  </si>
  <si>
    <t>干神</t>
  </si>
  <si>
    <t>偏财</t>
  </si>
  <si>
    <t>伤官</t>
  </si>
  <si>
    <t>正印</t>
  </si>
  <si>
    <t>七杀</t>
  </si>
  <si>
    <t>正官</t>
  </si>
  <si>
    <t>乙  8</t>
  </si>
  <si>
    <t>壬 12</t>
  </si>
  <si>
    <t>辛</t>
  </si>
  <si>
    <t>戊  12</t>
  </si>
  <si>
    <t>丁  10*70%</t>
  </si>
  <si>
    <t>丙  6</t>
  </si>
  <si>
    <t>丁 3</t>
  </si>
  <si>
    <t>卯</t>
  </si>
  <si>
    <t>午</t>
  </si>
  <si>
    <t>子</t>
  </si>
  <si>
    <t xml:space="preserve">亥  </t>
  </si>
  <si>
    <t>酉</t>
  </si>
  <si>
    <t>乙  4</t>
  </si>
  <si>
    <t>丁  40*70%</t>
  </si>
  <si>
    <t>乙 12</t>
  </si>
  <si>
    <t>癸  12</t>
  </si>
  <si>
    <t>壬  35*30%*70%</t>
  </si>
  <si>
    <t>丁 20*70%</t>
  </si>
  <si>
    <t>辛 10</t>
  </si>
  <si>
    <t>己  40*30%</t>
  </si>
  <si>
    <t>甲  35*30%*30%</t>
  </si>
  <si>
    <t>己 20*30%</t>
  </si>
  <si>
    <t>丙辛合化水</t>
  </si>
  <si>
    <t>壬*1.5</t>
  </si>
  <si>
    <t>丁壬合化木</t>
  </si>
  <si>
    <t>乙*1.5</t>
  </si>
  <si>
    <t>亥卯半合木</t>
  </si>
  <si>
    <t>甲*1.5</t>
  </si>
  <si>
    <t>子午冲</t>
  </si>
  <si>
    <t>子午*0.5</t>
  </si>
  <si>
    <t>卯酉冲</t>
  </si>
  <si>
    <t>卯酉*0.5</t>
  </si>
  <si>
    <t>午午自刑</t>
  </si>
  <si>
    <t>午千*0.85</t>
  </si>
  <si>
    <t>盖头截脚</t>
  </si>
  <si>
    <r>
      <t>壬</t>
    </r>
    <r>
      <rPr>
        <sz val="11"/>
        <color theme="1"/>
        <rFont val="宋体"/>
        <charset val="134"/>
        <scheme val="minor"/>
      </rPr>
      <t>午</t>
    </r>
  </si>
  <si>
    <t>壬午*0.8</t>
  </si>
  <si>
    <r>
      <t>辛</t>
    </r>
    <r>
      <rPr>
        <sz val="11"/>
        <color theme="1"/>
        <rFont val="宋体"/>
        <charset val="134"/>
        <scheme val="minor"/>
      </rPr>
      <t>卯</t>
    </r>
  </si>
  <si>
    <t>辛卯*0.8</t>
  </si>
  <si>
    <t>戊子</t>
  </si>
  <si>
    <t>*0.8</t>
  </si>
  <si>
    <r>
      <t>丁</t>
    </r>
    <r>
      <rPr>
        <sz val="11"/>
        <color theme="1"/>
        <rFont val="宋体"/>
        <charset val="134"/>
        <scheme val="minor"/>
      </rPr>
      <t>亥</t>
    </r>
  </si>
  <si>
    <t>丁酉</t>
  </si>
  <si>
    <t>乙</t>
  </si>
  <si>
    <t>甲</t>
  </si>
  <si>
    <t>丁</t>
  </si>
  <si>
    <t>己</t>
  </si>
  <si>
    <t>戊</t>
  </si>
  <si>
    <t>壬</t>
  </si>
  <si>
    <t>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</si>
</sst>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34"/>
      <scheme val="minor"/>
    </font>
    <font>
      <b/>
      <sz val="11"/>
      <color theme="7"/>
      <name val="宋体"/>
      <charset val="134"/>
      <scheme val="minor"/>
    </font>
    <font>
      <b/>
      <sz val="11"/>
      <color theme="4"/>
      <name val="宋体"/>
      <charset val="134"/>
      <scheme val="minor"/>
    </font>
    <font>
      <sz val="11"/>
      <color theme="9" tint="-0.25"/>
      <name val="宋体"/>
      <charset val="134"/>
      <scheme val="minor"/>
    </font>
    <font>
      <sz val="9"/>
      <color theme="1"/>
      <name val="宋体"/>
      <charset val="134"/>
      <scheme val="minor"/>
    </font>
    <font>
      <sz val="22"/>
      <color rgb="FFC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4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6.5"/>
      <color theme="1"/>
      <name val="宋体"/>
      <charset val="134"/>
    </font>
    <font>
      <sz val="6.5"/>
      <color theme="1"/>
      <name val="Calibri"/>
      <charset val="134"/>
    </font>
    <font>
      <b/>
      <sz val="9.75"/>
      <color theme="1"/>
      <name val="Segoe UI"/>
      <charset val="134"/>
    </font>
    <font>
      <sz val="9.75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rgb="FFFF0000"/>
      <name val="宋体"/>
      <charset val="134"/>
      <scheme val="minor"/>
    </font>
    <font>
      <sz val="9"/>
      <color theme="4"/>
      <name val="宋体"/>
      <charset val="134"/>
      <scheme val="minor"/>
    </font>
    <font>
      <sz val="9"/>
      <color rgb="FFFF0000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9"/>
      <color theme="4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4"/>
      <color theme="4"/>
      <name val="宋体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8" borderId="2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29" applyNumberFormat="0" applyAlignment="0" applyProtection="0">
      <alignment vertical="center"/>
    </xf>
    <xf numFmtId="0" fontId="24" fillId="10" borderId="30" applyNumberFormat="0" applyAlignment="0" applyProtection="0">
      <alignment vertical="center"/>
    </xf>
    <xf numFmtId="0" fontId="25" fillId="10" borderId="29" applyNumberFormat="0" applyAlignment="0" applyProtection="0">
      <alignment vertical="center"/>
    </xf>
    <xf numFmtId="0" fontId="26" fillId="11" borderId="31" applyNumberFormat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8" fillId="0" borderId="33" applyNumberFormat="0" applyFill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</cellStyleXfs>
  <cellXfs count="110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0" fillId="3" borderId="0" xfId="0" applyFill="1">
      <alignment vertical="center"/>
    </xf>
    <xf numFmtId="0" fontId="1" fillId="3" borderId="0" xfId="0" applyFont="1" applyFill="1">
      <alignment vertical="center"/>
    </xf>
    <xf numFmtId="0" fontId="2" fillId="3" borderId="0" xfId="0" applyFont="1" applyFill="1">
      <alignment vertical="center"/>
    </xf>
    <xf numFmtId="0" fontId="3" fillId="3" borderId="0" xfId="0" applyFont="1" applyFill="1">
      <alignment vertical="center"/>
    </xf>
    <xf numFmtId="0" fontId="0" fillId="0" borderId="1" xfId="0" applyBorder="1" applyAlignment="1">
      <alignment horizontal="left" vertical="center"/>
    </xf>
    <xf numFmtId="0" fontId="0" fillId="0" borderId="2" xfId="0" applyBorder="1">
      <alignment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>
      <alignment vertical="center"/>
    </xf>
    <xf numFmtId="0" fontId="0" fillId="0" borderId="0" xfId="0" applyAlignment="1">
      <alignment horizontal="right"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vertical="center" wrapText="1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0" fillId="2" borderId="0" xfId="0" applyFill="1">
      <alignment vertical="center"/>
    </xf>
    <xf numFmtId="0" fontId="0" fillId="4" borderId="9" xfId="0" applyFill="1" applyBorder="1" applyAlignment="1">
      <alignment horizontal="center" vertical="center"/>
    </xf>
    <xf numFmtId="0" fontId="0" fillId="4" borderId="9" xfId="0" applyFill="1" applyBorder="1">
      <alignment vertical="center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6" fillId="2" borderId="0" xfId="0" applyNumberFormat="1" applyFont="1" applyFill="1" applyBorder="1" applyAlignment="1" applyProtection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9" fontId="0" fillId="4" borderId="9" xfId="0" applyNumberFormat="1" applyFill="1" applyBorder="1" applyAlignment="1">
      <alignment horizontal="center" vertical="center"/>
    </xf>
    <xf numFmtId="0" fontId="0" fillId="0" borderId="0" xfId="0" applyFill="1" applyAlignment="1">
      <alignment vertical="top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9" fontId="0" fillId="5" borderId="0" xfId="0" applyNumberFormat="1" applyFill="1" applyAlignment="1">
      <alignment horizontal="center" vertical="center"/>
    </xf>
    <xf numFmtId="0" fontId="8" fillId="5" borderId="0" xfId="0" applyFont="1" applyFill="1" applyAlignment="1">
      <alignment horizontal="left" vertical="top" wrapText="1"/>
    </xf>
    <xf numFmtId="0" fontId="8" fillId="5" borderId="0" xfId="0" applyFont="1" applyFill="1" applyAlignment="1">
      <alignment horizontal="left" vertical="top"/>
    </xf>
    <xf numFmtId="0" fontId="0" fillId="6" borderId="0" xfId="0" applyFill="1" applyAlignment="1">
      <alignment vertical="top" wrapText="1"/>
    </xf>
    <xf numFmtId="0" fontId="9" fillId="6" borderId="0" xfId="0" applyFont="1" applyFill="1" applyAlignment="1">
      <alignment horizontal="left" vertical="top" wrapText="1"/>
    </xf>
    <xf numFmtId="0" fontId="9" fillId="6" borderId="0" xfId="0" applyFont="1" applyFill="1" applyAlignment="1">
      <alignment horizontal="left" vertical="top"/>
    </xf>
    <xf numFmtId="0" fontId="8" fillId="7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left" vertical="center"/>
    </xf>
    <xf numFmtId="0" fontId="0" fillId="6" borderId="0" xfId="0" applyFill="1" applyAlignment="1">
      <alignment vertical="center" wrapText="1"/>
    </xf>
    <xf numFmtId="0" fontId="0" fillId="6" borderId="0" xfId="0" applyFont="1" applyFill="1" applyAlignment="1">
      <alignment horizontal="left" vertical="top" wrapText="1"/>
    </xf>
    <xf numFmtId="0" fontId="0" fillId="6" borderId="0" xfId="0" applyFill="1" applyAlignment="1">
      <alignment horizontal="left" vertical="top"/>
    </xf>
    <xf numFmtId="0" fontId="0" fillId="6" borderId="0" xfId="0" applyFill="1" applyAlignment="1">
      <alignment horizontal="left" vertical="center" wrapText="1"/>
    </xf>
    <xf numFmtId="0" fontId="4" fillId="6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4" borderId="0" xfId="0" applyFill="1" applyAlignment="1">
      <alignment horizontal="left" vertical="top" wrapText="1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0" fontId="0" fillId="0" borderId="13" xfId="0" applyBorder="1">
      <alignment vertical="center"/>
    </xf>
    <xf numFmtId="0" fontId="0" fillId="0" borderId="9" xfId="0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9" xfId="0" applyFont="1" applyBorder="1" applyAlignment="1">
      <alignment horizontal="left" vertical="center" wrapText="1"/>
    </xf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 applyAlignment="1">
      <alignment horizontal="center" vertical="center"/>
    </xf>
    <xf numFmtId="0" fontId="10" fillId="0" borderId="10" xfId="0" applyFont="1" applyBorder="1">
      <alignment vertical="center"/>
    </xf>
    <xf numFmtId="0" fontId="0" fillId="0" borderId="20" xfId="0" applyBorder="1" applyAlignment="1">
      <alignment vertical="center" wrapText="1"/>
    </xf>
    <xf numFmtId="0" fontId="0" fillId="0" borderId="9" xfId="0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9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4" borderId="0" xfId="0" applyFill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24" xfId="0" applyBorder="1" applyAlignment="1">
      <alignment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5" xfId="0" applyBorder="1" applyAlignment="1">
      <alignment vertical="center" wrapText="1"/>
    </xf>
    <xf numFmtId="0" fontId="0" fillId="4" borderId="0" xfId="0" applyFill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0" fontId="10" fillId="0" borderId="20" xfId="0" applyFont="1" applyFill="1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352425</xdr:colOff>
      <xdr:row>0</xdr:row>
      <xdr:rowOff>95250</xdr:rowOff>
    </xdr:from>
    <xdr:to>
      <xdr:col>21</xdr:col>
      <xdr:colOff>390525</xdr:colOff>
      <xdr:row>17</xdr:row>
      <xdr:rowOff>133350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000" y="95250"/>
          <a:ext cx="6210300" cy="29813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3:M37"/>
  <sheetViews>
    <sheetView topLeftCell="A10" workbookViewId="0">
      <selection activeCell="C42" sqref="C42"/>
    </sheetView>
  </sheetViews>
  <sheetFormatPr defaultColWidth="9" defaultRowHeight="13.5"/>
  <cols>
    <col min="4" max="4" width="8.875" customWidth="1"/>
    <col min="5" max="5" width="15.875" customWidth="1"/>
    <col min="6" max="6" width="10.75" customWidth="1"/>
    <col min="7" max="7" width="22.875" customWidth="1"/>
    <col min="8" max="8" width="40.375" style="21" customWidth="1"/>
    <col min="13" max="13" width="23.125" customWidth="1"/>
  </cols>
  <sheetData>
    <row r="3" ht="14.25" spans="5:13">
      <c r="E3" s="61" t="s">
        <v>0</v>
      </c>
      <c r="F3" s="61"/>
      <c r="G3" s="61"/>
      <c r="H3" s="61"/>
      <c r="M3" s="105" t="s">
        <v>1</v>
      </c>
    </row>
    <row r="4" spans="5:13">
      <c r="E4" s="62" t="s">
        <v>2</v>
      </c>
      <c r="F4" s="63"/>
      <c r="G4" s="64"/>
      <c r="H4" s="65" t="s">
        <v>3</v>
      </c>
      <c r="M4" s="105" t="s">
        <v>4</v>
      </c>
    </row>
    <row r="5" spans="5:13">
      <c r="E5" s="66" t="s">
        <v>5</v>
      </c>
      <c r="F5" s="67" t="s">
        <v>6</v>
      </c>
      <c r="G5" s="68" t="s">
        <v>7</v>
      </c>
      <c r="H5" s="69" t="s">
        <v>8</v>
      </c>
      <c r="M5" s="105" t="s">
        <v>9</v>
      </c>
    </row>
    <row r="6" spans="5:13">
      <c r="E6" s="66" t="s">
        <v>10</v>
      </c>
      <c r="F6" s="67" t="s">
        <v>11</v>
      </c>
      <c r="G6" s="70"/>
      <c r="H6" s="71"/>
      <c r="M6" s="105" t="s">
        <v>12</v>
      </c>
    </row>
    <row r="7" spans="5:13">
      <c r="E7" s="66" t="s">
        <v>13</v>
      </c>
      <c r="F7" s="67" t="s">
        <v>14</v>
      </c>
      <c r="G7" s="68" t="s">
        <v>15</v>
      </c>
      <c r="H7" s="69" t="s">
        <v>16</v>
      </c>
      <c r="M7" s="105" t="s">
        <v>17</v>
      </c>
    </row>
    <row r="8" spans="5:13">
      <c r="E8" s="66" t="s">
        <v>18</v>
      </c>
      <c r="F8" s="67" t="s">
        <v>19</v>
      </c>
      <c r="G8" s="72"/>
      <c r="H8" s="71"/>
      <c r="M8" s="106" t="s">
        <v>20</v>
      </c>
    </row>
    <row r="9" ht="14.25" spans="5:13">
      <c r="E9" s="73" t="s">
        <v>21</v>
      </c>
      <c r="F9" s="74" t="s">
        <v>22</v>
      </c>
      <c r="G9" s="75"/>
      <c r="H9" s="71"/>
      <c r="M9" s="105" t="s">
        <v>23</v>
      </c>
    </row>
    <row r="10" spans="13:13">
      <c r="M10" s="105" t="s">
        <v>24</v>
      </c>
    </row>
    <row r="11" ht="36" customHeight="1" spans="5:13">
      <c r="E11" s="61" t="s">
        <v>25</v>
      </c>
      <c r="F11" s="61"/>
      <c r="G11" s="61"/>
      <c r="H11" s="61"/>
      <c r="M11" s="105" t="s">
        <v>26</v>
      </c>
    </row>
    <row r="12" spans="5:13">
      <c r="E12" s="76" t="s">
        <v>27</v>
      </c>
      <c r="F12" s="63" t="s">
        <v>28</v>
      </c>
      <c r="G12" s="63"/>
      <c r="H12" s="77" t="s">
        <v>29</v>
      </c>
      <c r="M12" s="105" t="s">
        <v>30</v>
      </c>
    </row>
    <row r="13" spans="5:13">
      <c r="E13" s="66" t="s">
        <v>31</v>
      </c>
      <c r="F13" s="78" t="s">
        <v>32</v>
      </c>
      <c r="G13" s="78"/>
      <c r="H13" s="79"/>
      <c r="M13" s="105" t="s">
        <v>33</v>
      </c>
    </row>
    <row r="14" spans="5:13">
      <c r="E14" s="66" t="s">
        <v>34</v>
      </c>
      <c r="F14" s="78" t="s">
        <v>35</v>
      </c>
      <c r="G14" s="78"/>
      <c r="H14" s="80"/>
      <c r="M14" s="105" t="s">
        <v>36</v>
      </c>
    </row>
    <row r="15" spans="5:13">
      <c r="E15" s="66" t="s">
        <v>37</v>
      </c>
      <c r="F15" s="78" t="s">
        <v>38</v>
      </c>
      <c r="G15" s="78"/>
      <c r="H15" s="80"/>
      <c r="M15" s="105" t="s">
        <v>39</v>
      </c>
    </row>
    <row r="16" spans="5:8">
      <c r="E16" s="66" t="s">
        <v>40</v>
      </c>
      <c r="F16" s="78" t="s">
        <v>41</v>
      </c>
      <c r="G16" s="78"/>
      <c r="H16" s="80"/>
    </row>
    <row r="17" spans="5:8">
      <c r="E17" s="66" t="s">
        <v>42</v>
      </c>
      <c r="F17" s="78" t="s">
        <v>43</v>
      </c>
      <c r="G17" s="78"/>
      <c r="H17" s="80"/>
    </row>
    <row r="18" ht="14.25" spans="5:13">
      <c r="E18" s="73" t="s">
        <v>44</v>
      </c>
      <c r="F18" s="81" t="s">
        <v>45</v>
      </c>
      <c r="G18" s="81"/>
      <c r="H18" s="82"/>
      <c r="M18" s="107" t="s">
        <v>46</v>
      </c>
    </row>
    <row r="19" ht="36.75" spans="13:13">
      <c r="M19" s="108" t="s">
        <v>47</v>
      </c>
    </row>
    <row r="20" spans="5:13">
      <c r="E20" s="76" t="s">
        <v>48</v>
      </c>
      <c r="F20" s="83" t="s">
        <v>49</v>
      </c>
      <c r="G20" s="84"/>
      <c r="H20" s="85" t="s">
        <v>50</v>
      </c>
      <c r="M20" s="109" t="s">
        <v>51</v>
      </c>
    </row>
    <row r="21" spans="5:13">
      <c r="E21" s="66" t="s">
        <v>52</v>
      </c>
      <c r="F21" s="86" t="s">
        <v>53</v>
      </c>
      <c r="G21" s="87"/>
      <c r="H21" s="85"/>
      <c r="M21" s="109" t="s">
        <v>54</v>
      </c>
    </row>
    <row r="22" spans="5:13">
      <c r="E22" s="66" t="s">
        <v>55</v>
      </c>
      <c r="F22" s="86" t="s">
        <v>56</v>
      </c>
      <c r="G22" s="87"/>
      <c r="H22" s="85"/>
      <c r="M22" s="109" t="s">
        <v>57</v>
      </c>
    </row>
    <row r="23" spans="5:13">
      <c r="E23" s="66" t="s">
        <v>58</v>
      </c>
      <c r="F23" s="86" t="s">
        <v>59</v>
      </c>
      <c r="G23" s="87"/>
      <c r="H23" s="85"/>
      <c r="M23" s="109" t="s">
        <v>60</v>
      </c>
    </row>
    <row r="24" ht="14.25" spans="5:13">
      <c r="E24" s="73" t="s">
        <v>61</v>
      </c>
      <c r="F24" s="88" t="s">
        <v>62</v>
      </c>
      <c r="G24" s="89"/>
      <c r="H24" s="85"/>
      <c r="M24" s="109" t="s">
        <v>63</v>
      </c>
    </row>
    <row r="25" spans="13:13">
      <c r="M25" s="109" t="s">
        <v>64</v>
      </c>
    </row>
    <row r="26" ht="34" customHeight="1" spans="5:13">
      <c r="E26" s="90" t="s">
        <v>65</v>
      </c>
      <c r="F26" s="90"/>
      <c r="G26" s="90"/>
      <c r="H26" s="90"/>
      <c r="M26" s="109" t="s">
        <v>66</v>
      </c>
    </row>
    <row r="27" spans="5:13">
      <c r="E27" s="91" t="s">
        <v>67</v>
      </c>
      <c r="F27" s="92" t="s">
        <v>68</v>
      </c>
      <c r="G27" s="92"/>
      <c r="H27" s="77" t="s">
        <v>69</v>
      </c>
      <c r="M27" s="109" t="s">
        <v>70</v>
      </c>
    </row>
    <row r="28" spans="5:13">
      <c r="E28" s="93"/>
      <c r="F28" s="94" t="s">
        <v>71</v>
      </c>
      <c r="G28" s="94"/>
      <c r="H28" s="95" t="s">
        <v>72</v>
      </c>
      <c r="M28" s="109" t="s">
        <v>73</v>
      </c>
    </row>
    <row r="29" ht="24" spans="5:13">
      <c r="E29" s="93" t="s">
        <v>74</v>
      </c>
      <c r="F29" s="94" t="s">
        <v>75</v>
      </c>
      <c r="G29" s="94"/>
      <c r="H29" s="95" t="s">
        <v>76</v>
      </c>
      <c r="M29" s="109" t="s">
        <v>77</v>
      </c>
    </row>
    <row r="30" ht="15" spans="5:13">
      <c r="E30" s="96"/>
      <c r="F30" s="97" t="s">
        <v>78</v>
      </c>
      <c r="G30" s="97"/>
      <c r="H30" s="98" t="s">
        <v>79</v>
      </c>
      <c r="M30" s="107" t="s">
        <v>80</v>
      </c>
    </row>
    <row r="31" spans="13:13">
      <c r="M31" s="109" t="s">
        <v>81</v>
      </c>
    </row>
    <row r="32" ht="14.25" spans="5:13">
      <c r="E32" s="99" t="s">
        <v>82</v>
      </c>
      <c r="F32" s="99"/>
      <c r="G32" s="99"/>
      <c r="H32" s="99"/>
      <c r="M32" s="109" t="s">
        <v>83</v>
      </c>
    </row>
    <row r="33" spans="5:13">
      <c r="E33" s="100" t="s">
        <v>84</v>
      </c>
      <c r="F33" s="101" t="s">
        <v>85</v>
      </c>
      <c r="G33" s="101"/>
      <c r="H33" s="102" t="s">
        <v>86</v>
      </c>
      <c r="M33" s="109" t="s">
        <v>87</v>
      </c>
    </row>
    <row r="34" spans="5:13">
      <c r="E34" s="103" t="s">
        <v>69</v>
      </c>
      <c r="F34" s="78" t="s">
        <v>88</v>
      </c>
      <c r="G34" s="78"/>
      <c r="H34" s="95" t="s">
        <v>89</v>
      </c>
      <c r="M34" s="109" t="s">
        <v>90</v>
      </c>
    </row>
    <row r="35" ht="24" spans="5:13">
      <c r="E35" s="103" t="s">
        <v>72</v>
      </c>
      <c r="F35" s="78" t="s">
        <v>91</v>
      </c>
      <c r="G35" s="78"/>
      <c r="H35" s="95" t="s">
        <v>92</v>
      </c>
      <c r="M35" s="109" t="s">
        <v>93</v>
      </c>
    </row>
    <row r="36" spans="5:8">
      <c r="E36" s="103" t="s">
        <v>76</v>
      </c>
      <c r="F36" s="78" t="s">
        <v>91</v>
      </c>
      <c r="G36" s="78"/>
      <c r="H36" s="95" t="s">
        <v>92</v>
      </c>
    </row>
    <row r="37" ht="14.25" spans="5:8">
      <c r="E37" s="104" t="s">
        <v>79</v>
      </c>
      <c r="F37" s="81" t="s">
        <v>88</v>
      </c>
      <c r="G37" s="81"/>
      <c r="H37" s="98" t="s">
        <v>89</v>
      </c>
    </row>
  </sheetData>
  <mergeCells count="34">
    <mergeCell ref="E3:H3"/>
    <mergeCell ref="E4:G4"/>
    <mergeCell ref="E11:H11"/>
    <mergeCell ref="F12:G12"/>
    <mergeCell ref="F13:G13"/>
    <mergeCell ref="F14:G14"/>
    <mergeCell ref="F15:G15"/>
    <mergeCell ref="F16:G16"/>
    <mergeCell ref="F17:G17"/>
    <mergeCell ref="F18:G18"/>
    <mergeCell ref="F20:G20"/>
    <mergeCell ref="F21:G21"/>
    <mergeCell ref="F22:G22"/>
    <mergeCell ref="F23:G23"/>
    <mergeCell ref="F24:G24"/>
    <mergeCell ref="E26:H26"/>
    <mergeCell ref="F27:G27"/>
    <mergeCell ref="F28:G28"/>
    <mergeCell ref="F29:G29"/>
    <mergeCell ref="F30:G30"/>
    <mergeCell ref="E32:H32"/>
    <mergeCell ref="F33:G33"/>
    <mergeCell ref="F34:G34"/>
    <mergeCell ref="F35:G35"/>
    <mergeCell ref="F36:G36"/>
    <mergeCell ref="F37:G37"/>
    <mergeCell ref="E27:E28"/>
    <mergeCell ref="E29:E30"/>
    <mergeCell ref="G5:G6"/>
    <mergeCell ref="G7:G9"/>
    <mergeCell ref="H5:H6"/>
    <mergeCell ref="H7:H9"/>
    <mergeCell ref="H13:H18"/>
    <mergeCell ref="H20:H2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W29"/>
  <sheetViews>
    <sheetView topLeftCell="B3" workbookViewId="0">
      <selection activeCell="S11" sqref="S11"/>
    </sheetView>
  </sheetViews>
  <sheetFormatPr defaultColWidth="9" defaultRowHeight="13.5"/>
  <cols>
    <col min="5" max="5" width="80.125" customWidth="1"/>
    <col min="6" max="6" width="72.375" customWidth="1"/>
    <col min="7" max="7" width="53" customWidth="1"/>
    <col min="8" max="8" width="7.375" customWidth="1"/>
    <col min="9" max="9" width="5.375" customWidth="1"/>
    <col min="10" max="10" width="7.25" customWidth="1"/>
    <col min="11" max="11" width="7.125" customWidth="1"/>
    <col min="12" max="12" width="9.625" customWidth="1"/>
    <col min="13" max="13" width="20.75" style="20" customWidth="1"/>
    <col min="14" max="14" width="9" style="21" customWidth="1"/>
    <col min="15" max="15" width="7.875" style="21" customWidth="1"/>
    <col min="16" max="16" width="8.25" style="21" customWidth="1"/>
    <col min="17" max="17" width="9" style="21" customWidth="1"/>
    <col min="18" max="18" width="13.25" style="21" customWidth="1"/>
    <col min="19" max="19" width="14" customWidth="1"/>
    <col min="20" max="20" width="44.625" customWidth="1"/>
    <col min="22" max="22" width="51.25" customWidth="1"/>
    <col min="23" max="23" width="43.75" customWidth="1"/>
  </cols>
  <sheetData>
    <row r="1" ht="62" customHeight="1" spans="4:6">
      <c r="D1" s="22" t="s">
        <v>94</v>
      </c>
      <c r="E1" s="22"/>
      <c r="F1" s="22"/>
    </row>
    <row r="2" ht="65" customHeight="1" spans="4:23">
      <c r="D2" s="22"/>
      <c r="E2" s="22"/>
      <c r="F2" s="22"/>
      <c r="M2" s="29" t="s">
        <v>95</v>
      </c>
      <c r="N2" s="30"/>
      <c r="O2" s="30"/>
      <c r="P2" s="30"/>
      <c r="Q2" s="40"/>
      <c r="R2" s="40" t="s">
        <v>96</v>
      </c>
      <c r="S2" s="41"/>
      <c r="T2" s="41"/>
      <c r="V2" s="42" t="s">
        <v>97</v>
      </c>
      <c r="W2" s="43"/>
    </row>
    <row r="3" ht="67" customHeight="1" spans="4:23">
      <c r="D3" s="22"/>
      <c r="E3" s="22"/>
      <c r="F3" s="22"/>
      <c r="G3" t="s">
        <v>98</v>
      </c>
      <c r="N3" s="31"/>
      <c r="O3" s="31"/>
      <c r="P3" s="31"/>
      <c r="Q3" s="31"/>
      <c r="R3" s="44" t="s">
        <v>99</v>
      </c>
      <c r="S3" s="45" t="s">
        <v>100</v>
      </c>
      <c r="T3" s="46">
        <v>1</v>
      </c>
      <c r="V3" s="47" t="s">
        <v>101</v>
      </c>
      <c r="W3" s="48"/>
    </row>
    <row r="4" ht="39" customHeight="1" spans="4:23">
      <c r="D4" s="22"/>
      <c r="E4" s="22"/>
      <c r="F4" s="22"/>
      <c r="I4" s="1" t="s">
        <v>102</v>
      </c>
      <c r="J4" s="1" t="s">
        <v>103</v>
      </c>
      <c r="K4" s="1" t="s">
        <v>104</v>
      </c>
      <c r="L4" s="1" t="s">
        <v>105</v>
      </c>
      <c r="M4" s="2" t="s">
        <v>106</v>
      </c>
      <c r="N4" s="16" t="s">
        <v>107</v>
      </c>
      <c r="O4" s="16" t="s">
        <v>108</v>
      </c>
      <c r="P4" s="16" t="s">
        <v>109</v>
      </c>
      <c r="Q4" s="31"/>
      <c r="R4" s="44"/>
      <c r="S4" s="45" t="s">
        <v>110</v>
      </c>
      <c r="T4" s="45" t="s">
        <v>111</v>
      </c>
      <c r="V4" s="48"/>
      <c r="W4" s="48"/>
    </row>
    <row r="5" ht="31" customHeight="1" spans="4:20">
      <c r="D5" s="22"/>
      <c r="E5" s="22"/>
      <c r="F5" s="22"/>
      <c r="G5" t="s">
        <v>112</v>
      </c>
      <c r="I5" s="1"/>
      <c r="J5" s="1"/>
      <c r="K5" s="1"/>
      <c r="L5" s="1"/>
      <c r="M5" s="2"/>
      <c r="N5" s="16"/>
      <c r="O5" s="16"/>
      <c r="P5" s="16"/>
      <c r="Q5" s="31"/>
      <c r="R5" s="44"/>
      <c r="S5" s="45" t="s">
        <v>113</v>
      </c>
      <c r="T5" s="46">
        <v>0.4</v>
      </c>
    </row>
    <row r="6" ht="31" customHeight="1" spans="4:20">
      <c r="D6" s="22"/>
      <c r="E6" s="22"/>
      <c r="F6" s="23" t="s">
        <v>114</v>
      </c>
      <c r="G6" s="24" t="s">
        <v>115</v>
      </c>
      <c r="H6" s="24"/>
      <c r="I6" s="32">
        <v>8</v>
      </c>
      <c r="J6" s="32">
        <v>12</v>
      </c>
      <c r="K6" s="33" t="s">
        <v>116</v>
      </c>
      <c r="L6" s="32">
        <v>12</v>
      </c>
      <c r="M6" s="34" t="s">
        <v>117</v>
      </c>
      <c r="N6" s="35">
        <v>6</v>
      </c>
      <c r="O6" s="35">
        <v>3</v>
      </c>
      <c r="P6" s="35">
        <v>1</v>
      </c>
      <c r="Q6" s="31"/>
      <c r="R6" s="44"/>
      <c r="S6" s="45" t="s">
        <v>118</v>
      </c>
      <c r="T6" s="46">
        <v>0.3</v>
      </c>
    </row>
    <row r="7" ht="99" customHeight="1" spans="4:23">
      <c r="D7" s="22"/>
      <c r="E7" s="22"/>
      <c r="F7" s="23"/>
      <c r="G7" s="24" t="s">
        <v>119</v>
      </c>
      <c r="H7" s="24"/>
      <c r="I7" s="32">
        <v>4</v>
      </c>
      <c r="J7" s="32">
        <v>40</v>
      </c>
      <c r="K7" s="32">
        <v>12</v>
      </c>
      <c r="L7" s="32">
        <v>12</v>
      </c>
      <c r="M7" s="36" t="s">
        <v>120</v>
      </c>
      <c r="N7" s="37">
        <v>20</v>
      </c>
      <c r="O7" s="37">
        <v>10</v>
      </c>
      <c r="P7" s="37">
        <v>3</v>
      </c>
      <c r="Q7" s="40"/>
      <c r="R7" s="40" t="s">
        <v>121</v>
      </c>
      <c r="S7" s="40"/>
      <c r="T7" s="40"/>
      <c r="V7" s="42" t="s">
        <v>122</v>
      </c>
      <c r="W7" s="43"/>
    </row>
    <row r="8" ht="39" customHeight="1" spans="4:23">
      <c r="D8" s="22"/>
      <c r="E8" s="22"/>
      <c r="F8" s="23" t="s">
        <v>123</v>
      </c>
      <c r="G8" s="25" t="s">
        <v>124</v>
      </c>
      <c r="H8" s="26" t="s">
        <v>125</v>
      </c>
      <c r="I8" s="38">
        <v>0.6</v>
      </c>
      <c r="J8" s="25" t="s">
        <v>111</v>
      </c>
      <c r="K8" s="38">
        <v>1</v>
      </c>
      <c r="N8" s="39"/>
      <c r="O8" s="39"/>
      <c r="P8" s="39"/>
      <c r="Q8" s="39"/>
      <c r="R8" s="49" t="s">
        <v>126</v>
      </c>
      <c r="S8" s="50" t="s">
        <v>127</v>
      </c>
      <c r="T8" s="51"/>
      <c r="V8" s="52" t="s">
        <v>128</v>
      </c>
      <c r="W8" s="53"/>
    </row>
    <row r="9" ht="182" customHeight="1" spans="4:23">
      <c r="D9" s="22"/>
      <c r="E9" s="22"/>
      <c r="F9" s="23"/>
      <c r="G9" s="25"/>
      <c r="H9" s="26" t="s">
        <v>129</v>
      </c>
      <c r="I9" s="38">
        <v>0.3</v>
      </c>
      <c r="J9" s="25"/>
      <c r="K9" s="25"/>
      <c r="N9" s="39"/>
      <c r="O9" s="39"/>
      <c r="P9" s="39"/>
      <c r="Q9" s="39"/>
      <c r="R9" s="54" t="s">
        <v>130</v>
      </c>
      <c r="S9" s="55" t="s">
        <v>131</v>
      </c>
      <c r="T9" s="56"/>
      <c r="V9" s="53"/>
      <c r="W9" s="53"/>
    </row>
    <row r="10" ht="58" customHeight="1" spans="4:23">
      <c r="D10" s="22"/>
      <c r="E10" s="22"/>
      <c r="F10" s="23"/>
      <c r="G10" s="25"/>
      <c r="H10" s="26" t="s">
        <v>132</v>
      </c>
      <c r="I10" s="38">
        <v>0.1</v>
      </c>
      <c r="J10" s="38">
        <v>0.3</v>
      </c>
      <c r="K10" s="25"/>
      <c r="N10" s="39"/>
      <c r="O10" s="39"/>
      <c r="P10" s="39"/>
      <c r="Q10" s="39"/>
      <c r="R10" s="57" t="s">
        <v>133</v>
      </c>
      <c r="S10" s="57"/>
      <c r="T10" s="58" t="s">
        <v>134</v>
      </c>
      <c r="V10" s="59" t="s">
        <v>135</v>
      </c>
      <c r="W10" s="60"/>
    </row>
    <row r="11" ht="259" customHeight="1" spans="4:7">
      <c r="D11" s="22"/>
      <c r="E11" s="22"/>
      <c r="F11" s="22"/>
      <c r="G11" t="s">
        <v>136</v>
      </c>
    </row>
    <row r="12" ht="409" customHeight="1" spans="4:7">
      <c r="D12" s="22"/>
      <c r="E12" s="22"/>
      <c r="F12" s="22" t="s">
        <v>137</v>
      </c>
      <c r="G12" s="27" t="s">
        <v>138</v>
      </c>
    </row>
    <row r="13" ht="201" customHeight="1" spans="6:7">
      <c r="F13" s="22"/>
      <c r="G13" s="28"/>
    </row>
    <row r="14" ht="208" customHeight="1" spans="6:7">
      <c r="F14" s="22"/>
      <c r="G14" s="28"/>
    </row>
    <row r="15" ht="203" customHeight="1" spans="6:7">
      <c r="F15" s="22"/>
      <c r="G15" s="28"/>
    </row>
    <row r="16" ht="219" customHeight="1" spans="6:7">
      <c r="F16" s="22"/>
      <c r="G16" s="28"/>
    </row>
    <row r="17" ht="213" customHeight="1" spans="6:7">
      <c r="F17" s="22"/>
      <c r="G17" s="28"/>
    </row>
    <row r="18" ht="315" customHeight="1" spans="6:7">
      <c r="F18" s="22"/>
      <c r="G18" s="28"/>
    </row>
    <row r="19" ht="33" customHeight="1" spans="6:7">
      <c r="F19" s="22"/>
      <c r="G19" s="28"/>
    </row>
    <row r="20" spans="6:7">
      <c r="F20" s="22"/>
      <c r="G20" s="28"/>
    </row>
    <row r="21" ht="21" customHeight="1" spans="6:7">
      <c r="F21" s="22"/>
      <c r="G21" s="28"/>
    </row>
    <row r="22" ht="12" customHeight="1" spans="6:7">
      <c r="F22" s="22"/>
      <c r="G22" s="28"/>
    </row>
    <row r="23" ht="20" customHeight="1" spans="6:7">
      <c r="F23" s="22"/>
      <c r="G23" s="28"/>
    </row>
    <row r="24" ht="9" customHeight="1" spans="6:7">
      <c r="F24" s="22"/>
      <c r="G24" s="28"/>
    </row>
    <row r="25" ht="18" customHeight="1" spans="6:7">
      <c r="F25" s="22"/>
      <c r="G25" s="28"/>
    </row>
    <row r="26" ht="9" customHeight="1" spans="6:7">
      <c r="F26" s="22"/>
      <c r="G26" s="28"/>
    </row>
    <row r="27" spans="6:7">
      <c r="F27" s="22"/>
      <c r="G27" s="28"/>
    </row>
    <row r="28" spans="6:7">
      <c r="F28" s="22"/>
      <c r="G28" s="28"/>
    </row>
    <row r="29" ht="23" customHeight="1" spans="6:7">
      <c r="F29" s="22"/>
      <c r="G29" s="28"/>
    </row>
  </sheetData>
  <mergeCells count="20">
    <mergeCell ref="M2:P2"/>
    <mergeCell ref="R2:T2"/>
    <mergeCell ref="V2:W2"/>
    <mergeCell ref="R7:T7"/>
    <mergeCell ref="V7:W7"/>
    <mergeCell ref="S8:T8"/>
    <mergeCell ref="S9:T9"/>
    <mergeCell ref="R10:S10"/>
    <mergeCell ref="V10:W10"/>
    <mergeCell ref="F6:F7"/>
    <mergeCell ref="F8:F10"/>
    <mergeCell ref="F12:F29"/>
    <mergeCell ref="G8:G10"/>
    <mergeCell ref="G12:G29"/>
    <mergeCell ref="J8:J9"/>
    <mergeCell ref="K8:K10"/>
    <mergeCell ref="R3:R6"/>
    <mergeCell ref="D1:E12"/>
    <mergeCell ref="V3:W4"/>
    <mergeCell ref="V8:W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K38"/>
  <sheetViews>
    <sheetView tabSelected="1" workbookViewId="0">
      <selection activeCell="J19" sqref="J18:J19"/>
    </sheetView>
  </sheetViews>
  <sheetFormatPr defaultColWidth="9" defaultRowHeight="13.5"/>
  <cols>
    <col min="3" max="3" width="10.625" customWidth="1"/>
    <col min="5" max="5" width="12" customWidth="1"/>
    <col min="8" max="8" width="14.375" customWidth="1"/>
    <col min="9" max="9" width="11.375" customWidth="1"/>
  </cols>
  <sheetData>
    <row r="3" spans="4:11">
      <c r="D3" s="1" t="s">
        <v>102</v>
      </c>
      <c r="E3" s="1" t="s">
        <v>103</v>
      </c>
      <c r="F3" s="1" t="s">
        <v>104</v>
      </c>
      <c r="G3" s="1" t="s">
        <v>105</v>
      </c>
      <c r="H3" s="2" t="s">
        <v>106</v>
      </c>
      <c r="I3" s="16" t="s">
        <v>107</v>
      </c>
      <c r="J3" s="16" t="s">
        <v>108</v>
      </c>
      <c r="K3" s="16" t="s">
        <v>109</v>
      </c>
    </row>
    <row r="4" spans="3:10">
      <c r="C4" t="s">
        <v>139</v>
      </c>
      <c r="D4" t="s">
        <v>140</v>
      </c>
      <c r="E4" t="s">
        <v>141</v>
      </c>
      <c r="F4" t="s">
        <v>116</v>
      </c>
      <c r="G4" t="s">
        <v>142</v>
      </c>
      <c r="H4" t="s">
        <v>143</v>
      </c>
      <c r="I4" t="s">
        <v>144</v>
      </c>
      <c r="J4" t="s">
        <v>143</v>
      </c>
    </row>
    <row r="5" spans="3:11">
      <c r="C5" s="3" t="s">
        <v>115</v>
      </c>
      <c r="D5" s="3" t="s">
        <v>145</v>
      </c>
      <c r="E5" s="4" t="s">
        <v>146</v>
      </c>
      <c r="F5" s="5" t="s">
        <v>147</v>
      </c>
      <c r="G5" s="3" t="s">
        <v>148</v>
      </c>
      <c r="H5" s="4" t="s">
        <v>149</v>
      </c>
      <c r="I5" s="5" t="s">
        <v>150</v>
      </c>
      <c r="J5" s="3" t="s">
        <v>151</v>
      </c>
      <c r="K5" s="3"/>
    </row>
    <row r="6" ht="14.25" spans="3:11">
      <c r="C6" s="3" t="s">
        <v>119</v>
      </c>
      <c r="D6" s="6" t="s">
        <v>152</v>
      </c>
      <c r="E6" s="6" t="s">
        <v>153</v>
      </c>
      <c r="F6" s="4" t="s">
        <v>152</v>
      </c>
      <c r="G6" s="6" t="s">
        <v>154</v>
      </c>
      <c r="H6" s="4" t="s">
        <v>155</v>
      </c>
      <c r="I6" s="6" t="s">
        <v>153</v>
      </c>
      <c r="J6" s="6" t="s">
        <v>156</v>
      </c>
      <c r="K6" s="3"/>
    </row>
    <row r="7" spans="3:11">
      <c r="C7" s="7" t="s">
        <v>124</v>
      </c>
      <c r="D7" s="8" t="s">
        <v>157</v>
      </c>
      <c r="E7" s="8" t="s">
        <v>158</v>
      </c>
      <c r="F7" s="8" t="s">
        <v>159</v>
      </c>
      <c r="G7" s="8" t="s">
        <v>160</v>
      </c>
      <c r="H7" s="8" t="s">
        <v>161</v>
      </c>
      <c r="I7" s="8" t="s">
        <v>162</v>
      </c>
      <c r="J7" s="8" t="s">
        <v>163</v>
      </c>
      <c r="K7" s="17"/>
    </row>
    <row r="8" spans="3:11">
      <c r="C8" s="9"/>
      <c r="E8" t="s">
        <v>164</v>
      </c>
      <c r="H8" t="s">
        <v>165</v>
      </c>
      <c r="I8" t="s">
        <v>166</v>
      </c>
      <c r="K8" s="18"/>
    </row>
    <row r="9" ht="14.25" spans="3:11">
      <c r="C9" s="10"/>
      <c r="D9" s="11"/>
      <c r="E9" s="11"/>
      <c r="F9" s="11"/>
      <c r="G9" s="11"/>
      <c r="H9" s="11"/>
      <c r="I9" s="11"/>
      <c r="J9" s="11"/>
      <c r="K9" s="19"/>
    </row>
    <row r="10" spans="3:11">
      <c r="C10" s="9" t="s">
        <v>136</v>
      </c>
      <c r="D10" t="s">
        <v>140</v>
      </c>
      <c r="K10" s="18"/>
    </row>
    <row r="11" spans="3:11">
      <c r="C11" s="9"/>
      <c r="K11" s="18"/>
    </row>
    <row r="12" ht="14.25" spans="3:11">
      <c r="C12" s="10"/>
      <c r="D12" s="11"/>
      <c r="E12" s="11"/>
      <c r="F12" s="11"/>
      <c r="G12" s="11"/>
      <c r="H12" s="11"/>
      <c r="I12" s="11"/>
      <c r="J12" s="11"/>
      <c r="K12" s="19"/>
    </row>
    <row r="14" spans="2:4">
      <c r="B14" s="12" t="s">
        <v>115</v>
      </c>
      <c r="C14" t="s">
        <v>167</v>
      </c>
      <c r="D14" t="s">
        <v>168</v>
      </c>
    </row>
    <row r="15" spans="2:4">
      <c r="B15" s="12"/>
      <c r="C15" t="s">
        <v>169</v>
      </c>
      <c r="D15" t="s">
        <v>170</v>
      </c>
    </row>
    <row r="16" spans="2:5">
      <c r="B16" s="12" t="s">
        <v>119</v>
      </c>
      <c r="C16" t="s">
        <v>171</v>
      </c>
      <c r="D16" t="s">
        <v>170</v>
      </c>
      <c r="E16" t="s">
        <v>172</v>
      </c>
    </row>
    <row r="17" spans="2:4">
      <c r="B17" s="12"/>
      <c r="C17" t="s">
        <v>173</v>
      </c>
      <c r="D17" t="s">
        <v>174</v>
      </c>
    </row>
    <row r="18" spans="2:4">
      <c r="B18" s="12"/>
      <c r="C18" t="s">
        <v>175</v>
      </c>
      <c r="D18" t="s">
        <v>176</v>
      </c>
    </row>
    <row r="19" spans="2:4">
      <c r="B19" s="12"/>
      <c r="C19" t="s">
        <v>177</v>
      </c>
      <c r="D19" t="s">
        <v>178</v>
      </c>
    </row>
    <row r="21" spans="2:4">
      <c r="B21" t="s">
        <v>179</v>
      </c>
      <c r="C21" s="13" t="s">
        <v>180</v>
      </c>
      <c r="D21" t="s">
        <v>181</v>
      </c>
    </row>
    <row r="22" spans="3:4">
      <c r="C22" s="13" t="s">
        <v>182</v>
      </c>
      <c r="D22" t="s">
        <v>183</v>
      </c>
    </row>
    <row r="23" spans="3:4">
      <c r="C23" t="s">
        <v>184</v>
      </c>
      <c r="D23" t="s">
        <v>185</v>
      </c>
    </row>
    <row r="24" spans="3:4">
      <c r="C24" s="13" t="s">
        <v>186</v>
      </c>
      <c r="D24" t="s">
        <v>185</v>
      </c>
    </row>
    <row r="25" spans="3:4">
      <c r="C25" t="s">
        <v>187</v>
      </c>
      <c r="D25" t="s">
        <v>185</v>
      </c>
    </row>
    <row r="27" spans="3:5">
      <c r="C27" t="s">
        <v>188</v>
      </c>
      <c r="D27">
        <f>(4+12)*1.5*0.5*0.8+8+(10*70%+12)*1.5</f>
        <v>46.1</v>
      </c>
      <c r="E27" s="14">
        <f>D27+D28</f>
        <v>46.14725</v>
      </c>
    </row>
    <row r="28" spans="3:5">
      <c r="C28" t="s">
        <v>189</v>
      </c>
      <c r="D28">
        <f>35%*30%*30%*1.5</f>
        <v>0.04725</v>
      </c>
      <c r="E28" s="14"/>
    </row>
    <row r="29" spans="5:5">
      <c r="E29" s="15"/>
    </row>
    <row r="30" spans="3:5">
      <c r="C30" t="s">
        <v>190</v>
      </c>
      <c r="D30">
        <f>(40*70%*0.8*0.5+20*70%)*0.85+3*0.8</f>
        <v>23.82</v>
      </c>
      <c r="E30" s="15">
        <f>D30</f>
        <v>23.82</v>
      </c>
    </row>
    <row r="31" spans="5:5">
      <c r="E31" s="15"/>
    </row>
    <row r="32" spans="3:5">
      <c r="C32" t="s">
        <v>191</v>
      </c>
      <c r="D32">
        <f>(40*30%*0.8*0.5+20*30%)*0.85</f>
        <v>9.18</v>
      </c>
      <c r="E32" s="14">
        <f>D32+D33</f>
        <v>21.18</v>
      </c>
    </row>
    <row r="33" spans="3:5">
      <c r="C33" t="s">
        <v>192</v>
      </c>
      <c r="D33">
        <v>12</v>
      </c>
      <c r="E33" s="14"/>
    </row>
    <row r="34" spans="5:5">
      <c r="E34" s="15"/>
    </row>
    <row r="35" spans="3:5">
      <c r="C35" t="s">
        <v>147</v>
      </c>
      <c r="D35">
        <f>10*0.5*0.8</f>
        <v>4</v>
      </c>
      <c r="E35" s="15">
        <f>D35</f>
        <v>4</v>
      </c>
    </row>
    <row r="36" spans="5:5">
      <c r="E36" s="15"/>
    </row>
    <row r="37" spans="3:5">
      <c r="C37" t="s">
        <v>193</v>
      </c>
      <c r="D37">
        <f>35*30%*70%*0.8</f>
        <v>5.88</v>
      </c>
      <c r="E37" s="14">
        <f>D37+D38</f>
        <v>10.68</v>
      </c>
    </row>
    <row r="38" spans="3:5">
      <c r="C38" t="s">
        <v>194</v>
      </c>
      <c r="D38">
        <f>12*0.5*0.8</f>
        <v>4.8</v>
      </c>
      <c r="E38" s="14"/>
    </row>
  </sheetData>
  <mergeCells count="5">
    <mergeCell ref="C7:C9"/>
    <mergeCell ref="C10:C12"/>
    <mergeCell ref="E27:E28"/>
    <mergeCell ref="E32:E33"/>
    <mergeCell ref="E37:E3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八字分析标准 有气有力喜用神</vt:lpstr>
      <vt:lpstr>八字五行计分标准2</vt:lpstr>
      <vt:lpstr>实例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灵韵</cp:lastModifiedBy>
  <dcterms:created xsi:type="dcterms:W3CDTF">2026-09-02T05:16:00Z</dcterms:created>
  <dcterms:modified xsi:type="dcterms:W3CDTF">2026-09-09T09:10:08Z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2E00458207644C1790C6019058828A5C_13</vt:lpwstr>
  </property>
  <property fmtid="{D5CDD505-2E9C-101B-9397-08002B2CF9AE}" pid="3" name="KSOProductBuildVer">
    <vt:lpwstr>2052-12.1.0.17857</vt:lpwstr>
  </property>
</Properties>
</file>